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jolein_oostrom_pnnl_gov/Documents/Documents/PathwaySeeker/output/"/>
    </mc:Choice>
  </mc:AlternateContent>
  <xr:revisionPtr revIDLastSave="47" documentId="13_ncr:1_{E93BD598-0F77-8C47-A469-D7765A59E5AC}" xr6:coauthVersionLast="47" xr6:coauthVersionMax="47" xr10:uidLastSave="{819EB818-CE9A-6044-AEDD-5A1C5F1EC739}"/>
  <bookViews>
    <workbookView xWindow="0" yWindow="7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Sheet1!$A$1:$A$325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AN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2" i="1"/>
  <c r="BD1" i="1"/>
  <c r="BE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AN1" i="1"/>
  <c r="AL3" i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L149" i="1"/>
  <c r="AM149" i="1"/>
  <c r="AL150" i="1"/>
  <c r="AM150" i="1"/>
  <c r="AL151" i="1"/>
  <c r="AM151" i="1"/>
  <c r="AL152" i="1"/>
  <c r="AM152" i="1"/>
  <c r="AL153" i="1"/>
  <c r="AM153" i="1"/>
  <c r="AL154" i="1"/>
  <c r="AM154" i="1"/>
  <c r="AL155" i="1"/>
  <c r="AM155" i="1"/>
  <c r="AL156" i="1"/>
  <c r="AM156" i="1"/>
  <c r="AL157" i="1"/>
  <c r="AM157" i="1"/>
  <c r="AL158" i="1"/>
  <c r="AM158" i="1"/>
  <c r="AL159" i="1"/>
  <c r="AM159" i="1"/>
  <c r="AL160" i="1"/>
  <c r="AM160" i="1"/>
  <c r="AL161" i="1"/>
  <c r="AM161" i="1"/>
  <c r="AL162" i="1"/>
  <c r="AM162" i="1"/>
  <c r="AL163" i="1"/>
  <c r="AM163" i="1"/>
  <c r="AL164" i="1"/>
  <c r="AM164" i="1"/>
  <c r="AL165" i="1"/>
  <c r="AM165" i="1"/>
  <c r="AL166" i="1"/>
  <c r="AM166" i="1"/>
  <c r="AL167" i="1"/>
  <c r="AM167" i="1"/>
  <c r="AL168" i="1"/>
  <c r="AM168" i="1"/>
  <c r="AL169" i="1"/>
  <c r="AM169" i="1"/>
  <c r="AL170" i="1"/>
  <c r="AM170" i="1"/>
  <c r="AL171" i="1"/>
  <c r="AM171" i="1"/>
  <c r="AL172" i="1"/>
  <c r="AM172" i="1"/>
  <c r="AL173" i="1"/>
  <c r="AM173" i="1"/>
  <c r="AL174" i="1"/>
  <c r="AM174" i="1"/>
  <c r="AL175" i="1"/>
  <c r="AM175" i="1"/>
  <c r="AL176" i="1"/>
  <c r="AM176" i="1"/>
  <c r="AL177" i="1"/>
  <c r="AM177" i="1"/>
  <c r="AL178" i="1"/>
  <c r="AM178" i="1"/>
  <c r="AL179" i="1"/>
  <c r="AM179" i="1"/>
  <c r="AL180" i="1"/>
  <c r="AM180" i="1"/>
  <c r="AL181" i="1"/>
  <c r="AM181" i="1"/>
  <c r="AL182" i="1"/>
  <c r="AM182" i="1"/>
  <c r="AL183" i="1"/>
  <c r="AM183" i="1"/>
  <c r="AL184" i="1"/>
  <c r="AM184" i="1"/>
  <c r="AL185" i="1"/>
  <c r="AM185" i="1"/>
  <c r="AL186" i="1"/>
  <c r="AM186" i="1"/>
  <c r="AL187" i="1"/>
  <c r="AM187" i="1"/>
  <c r="AL188" i="1"/>
  <c r="AM188" i="1"/>
  <c r="AL189" i="1"/>
  <c r="AM189" i="1"/>
  <c r="AL190" i="1"/>
  <c r="AM190" i="1"/>
  <c r="AL191" i="1"/>
  <c r="AM191" i="1"/>
  <c r="AL192" i="1"/>
  <c r="AM192" i="1"/>
  <c r="AL193" i="1"/>
  <c r="AM193" i="1"/>
  <c r="AL194" i="1"/>
  <c r="AM194" i="1"/>
  <c r="AL195" i="1"/>
  <c r="AM195" i="1"/>
  <c r="AL196" i="1"/>
  <c r="AM196" i="1"/>
  <c r="AL197" i="1"/>
  <c r="AM197" i="1"/>
  <c r="AL198" i="1"/>
  <c r="AM198" i="1"/>
  <c r="AL199" i="1"/>
  <c r="AM199" i="1"/>
  <c r="AL200" i="1"/>
  <c r="AM200" i="1"/>
  <c r="AL201" i="1"/>
  <c r="AM201" i="1"/>
  <c r="AL202" i="1"/>
  <c r="AM202" i="1"/>
  <c r="AL203" i="1"/>
  <c r="AM203" i="1"/>
  <c r="AL204" i="1"/>
  <c r="AM204" i="1"/>
  <c r="AL205" i="1"/>
  <c r="AM205" i="1"/>
  <c r="AL206" i="1"/>
  <c r="AM206" i="1"/>
  <c r="AL207" i="1"/>
  <c r="AM207" i="1"/>
  <c r="AL208" i="1"/>
  <c r="AM208" i="1"/>
  <c r="AL209" i="1"/>
  <c r="AM209" i="1"/>
  <c r="AL210" i="1"/>
  <c r="AM210" i="1"/>
  <c r="AL211" i="1"/>
  <c r="AM211" i="1"/>
  <c r="AL212" i="1"/>
  <c r="AM212" i="1"/>
  <c r="AL213" i="1"/>
  <c r="AM213" i="1"/>
  <c r="AL214" i="1"/>
  <c r="AM214" i="1"/>
  <c r="AL215" i="1"/>
  <c r="AM215" i="1"/>
  <c r="AL216" i="1"/>
  <c r="AM216" i="1"/>
  <c r="AL217" i="1"/>
  <c r="AM217" i="1"/>
  <c r="AL218" i="1"/>
  <c r="AM218" i="1"/>
  <c r="AL219" i="1"/>
  <c r="AM219" i="1"/>
  <c r="AL220" i="1"/>
  <c r="AM220" i="1"/>
  <c r="AL221" i="1"/>
  <c r="AM221" i="1"/>
  <c r="AL222" i="1"/>
  <c r="AM222" i="1"/>
  <c r="AL223" i="1"/>
  <c r="AM223" i="1"/>
  <c r="AL224" i="1"/>
  <c r="AM224" i="1"/>
  <c r="AL225" i="1"/>
  <c r="AM225" i="1"/>
  <c r="AL226" i="1"/>
  <c r="AM226" i="1"/>
  <c r="AL227" i="1"/>
  <c r="AM227" i="1"/>
  <c r="AL228" i="1"/>
  <c r="AM228" i="1"/>
  <c r="AL229" i="1"/>
  <c r="AM229" i="1"/>
  <c r="AL230" i="1"/>
  <c r="AM230" i="1"/>
  <c r="AL231" i="1"/>
  <c r="AM231" i="1"/>
  <c r="AL232" i="1"/>
  <c r="AM232" i="1"/>
  <c r="AL233" i="1"/>
  <c r="AM233" i="1"/>
  <c r="AL234" i="1"/>
  <c r="AM234" i="1"/>
  <c r="AL235" i="1"/>
  <c r="AM235" i="1"/>
  <c r="AL236" i="1"/>
  <c r="AM236" i="1"/>
  <c r="AL237" i="1"/>
  <c r="AM237" i="1"/>
  <c r="AL238" i="1"/>
  <c r="AM238" i="1"/>
  <c r="AL239" i="1"/>
  <c r="AM239" i="1"/>
  <c r="AL240" i="1"/>
  <c r="AM240" i="1"/>
  <c r="AL241" i="1"/>
  <c r="AM241" i="1"/>
  <c r="AL242" i="1"/>
  <c r="AM242" i="1"/>
  <c r="AL243" i="1"/>
  <c r="AM243" i="1"/>
  <c r="AL244" i="1"/>
  <c r="AM244" i="1"/>
  <c r="AL245" i="1"/>
  <c r="AM245" i="1"/>
  <c r="AL246" i="1"/>
  <c r="AM246" i="1"/>
  <c r="AL247" i="1"/>
  <c r="AM247" i="1"/>
  <c r="AL248" i="1"/>
  <c r="AM248" i="1"/>
  <c r="AL249" i="1"/>
  <c r="AM249" i="1"/>
  <c r="AL250" i="1"/>
  <c r="AM250" i="1"/>
  <c r="AL251" i="1"/>
  <c r="AM251" i="1"/>
  <c r="AL252" i="1"/>
  <c r="AM252" i="1"/>
  <c r="AL253" i="1"/>
  <c r="AM253" i="1"/>
  <c r="AL254" i="1"/>
  <c r="AM254" i="1"/>
  <c r="AL255" i="1"/>
  <c r="AM255" i="1"/>
  <c r="AL256" i="1"/>
  <c r="AM256" i="1"/>
  <c r="AL257" i="1"/>
  <c r="AM257" i="1"/>
  <c r="AL258" i="1"/>
  <c r="AM258" i="1"/>
  <c r="AL259" i="1"/>
  <c r="AM259" i="1"/>
  <c r="AL260" i="1"/>
  <c r="AM260" i="1"/>
  <c r="AL261" i="1"/>
  <c r="AM261" i="1"/>
  <c r="AL262" i="1"/>
  <c r="AM262" i="1"/>
  <c r="AL263" i="1"/>
  <c r="AM263" i="1"/>
  <c r="AL264" i="1"/>
  <c r="AM264" i="1"/>
  <c r="AL265" i="1"/>
  <c r="AM265" i="1"/>
  <c r="AL266" i="1"/>
  <c r="AM266" i="1"/>
  <c r="AL267" i="1"/>
  <c r="AM267" i="1"/>
  <c r="AL268" i="1"/>
  <c r="AM268" i="1"/>
  <c r="AL269" i="1"/>
  <c r="AM269" i="1"/>
  <c r="AL270" i="1"/>
  <c r="AM270" i="1"/>
  <c r="AL271" i="1"/>
  <c r="AM271" i="1"/>
  <c r="AL272" i="1"/>
  <c r="AM272" i="1"/>
  <c r="AL273" i="1"/>
  <c r="AM273" i="1"/>
  <c r="AL274" i="1"/>
  <c r="AM274" i="1"/>
  <c r="AL275" i="1"/>
  <c r="AM275" i="1"/>
  <c r="AL276" i="1"/>
  <c r="AM276" i="1"/>
  <c r="AL277" i="1"/>
  <c r="AM277" i="1"/>
  <c r="AL278" i="1"/>
  <c r="AM278" i="1"/>
  <c r="AL279" i="1"/>
  <c r="AM279" i="1"/>
  <c r="AL280" i="1"/>
  <c r="AM280" i="1"/>
  <c r="AL281" i="1"/>
  <c r="AM281" i="1"/>
  <c r="AL282" i="1"/>
  <c r="AM282" i="1"/>
  <c r="AL283" i="1"/>
  <c r="AM283" i="1"/>
  <c r="AL284" i="1"/>
  <c r="AM284" i="1"/>
  <c r="AL285" i="1"/>
  <c r="AM285" i="1"/>
  <c r="AL286" i="1"/>
  <c r="AM286" i="1"/>
  <c r="AL287" i="1"/>
  <c r="AM287" i="1"/>
  <c r="AL288" i="1"/>
  <c r="AM288" i="1"/>
  <c r="AL289" i="1"/>
  <c r="AM289" i="1"/>
  <c r="AL290" i="1"/>
  <c r="AM290" i="1"/>
  <c r="AL291" i="1"/>
  <c r="AM291" i="1"/>
  <c r="AL292" i="1"/>
  <c r="AM292" i="1"/>
  <c r="AL293" i="1"/>
  <c r="AM293" i="1"/>
  <c r="AL294" i="1"/>
  <c r="AM294" i="1"/>
  <c r="AL295" i="1"/>
  <c r="AM295" i="1"/>
  <c r="AL296" i="1"/>
  <c r="AM296" i="1"/>
  <c r="AL297" i="1"/>
  <c r="AM297" i="1"/>
  <c r="AL298" i="1"/>
  <c r="AM298" i="1"/>
  <c r="AL299" i="1"/>
  <c r="AM299" i="1"/>
  <c r="AL300" i="1"/>
  <c r="AM300" i="1"/>
  <c r="AL301" i="1"/>
  <c r="AM301" i="1"/>
  <c r="AL302" i="1"/>
  <c r="AM302" i="1"/>
  <c r="AL303" i="1"/>
  <c r="AM303" i="1"/>
  <c r="AL304" i="1"/>
  <c r="AM304" i="1"/>
  <c r="AL305" i="1"/>
  <c r="AM305" i="1"/>
  <c r="AL306" i="1"/>
  <c r="AM306" i="1"/>
  <c r="AL307" i="1"/>
  <c r="AM307" i="1"/>
  <c r="AL308" i="1"/>
  <c r="AM308" i="1"/>
  <c r="AL309" i="1"/>
  <c r="AM309" i="1"/>
  <c r="AL310" i="1"/>
  <c r="AM310" i="1"/>
  <c r="AL311" i="1"/>
  <c r="AM311" i="1"/>
  <c r="AL312" i="1"/>
  <c r="AM312" i="1"/>
  <c r="AL313" i="1"/>
  <c r="AM313" i="1"/>
  <c r="AL314" i="1"/>
  <c r="AM314" i="1"/>
  <c r="AL315" i="1"/>
  <c r="AM315" i="1"/>
  <c r="AL316" i="1"/>
  <c r="AM316" i="1"/>
  <c r="AL317" i="1"/>
  <c r="AM317" i="1"/>
  <c r="AL318" i="1"/>
  <c r="AM318" i="1"/>
  <c r="AL319" i="1"/>
  <c r="AM319" i="1"/>
  <c r="AL320" i="1"/>
  <c r="AM320" i="1"/>
  <c r="AL321" i="1"/>
  <c r="AM321" i="1"/>
  <c r="AL322" i="1"/>
  <c r="AM322" i="1"/>
  <c r="AL323" i="1"/>
  <c r="AM323" i="1"/>
  <c r="AL324" i="1"/>
  <c r="AM324" i="1"/>
  <c r="AL325" i="1"/>
  <c r="AM325" i="1"/>
  <c r="AM2" i="1"/>
  <c r="AL2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T2" i="1"/>
  <c r="AJ2" i="1"/>
  <c r="AI1" i="1"/>
  <c r="AJ1" i="1"/>
  <c r="AH1" i="1"/>
  <c r="AF1" i="1"/>
  <c r="AG1" i="1"/>
  <c r="Z1" i="1"/>
  <c r="AA1" i="1"/>
  <c r="AB1" i="1"/>
  <c r="AC1" i="1"/>
  <c r="AD1" i="1"/>
  <c r="AE1" i="1"/>
  <c r="U1" i="1"/>
  <c r="V1" i="1"/>
  <c r="W1" i="1"/>
  <c r="X1" i="1"/>
  <c r="Y1" i="1"/>
  <c r="T1" i="1"/>
</calcChain>
</file>

<file path=xl/sharedStrings.xml><?xml version="1.0" encoding="utf-8"?>
<sst xmlns="http://schemas.openxmlformats.org/spreadsheetml/2006/main" count="939" uniqueCount="425">
  <si>
    <t>metabolite</t>
  </si>
  <si>
    <t>AgitWAO</t>
  </si>
  <si>
    <t>AgitWAO.1</t>
  </si>
  <si>
    <t>AgitWAO.2</t>
  </si>
  <si>
    <t>AgitWAO.3</t>
  </si>
  <si>
    <t>AgitWOAO</t>
  </si>
  <si>
    <t>AgitWOAO.1</t>
  </si>
  <si>
    <t>AgitWOAO.2</t>
  </si>
  <si>
    <t>AgitWOAO.3</t>
  </si>
  <si>
    <t>StatWAO</t>
  </si>
  <si>
    <t>StatWAO.1</t>
  </si>
  <si>
    <t>StatWAO.2</t>
  </si>
  <si>
    <t>StatWAO.3</t>
  </si>
  <si>
    <t>StatWOAO</t>
  </si>
  <si>
    <t>StatWOAO.1</t>
  </si>
  <si>
    <t>StatWOAO.2</t>
  </si>
  <si>
    <t>StatWOAO.3</t>
  </si>
  <si>
    <t>KEGG_C_number</t>
  </si>
  <si>
    <t>omega-hydroxydodecanoic acid</t>
  </si>
  <si>
    <t>C08317</t>
  </si>
  <si>
    <t>trans-cinnamic acid</t>
  </si>
  <si>
    <t>C00423</t>
  </si>
  <si>
    <t>2,4-dihydroxypteridine</t>
  </si>
  <si>
    <t>ferulic acid</t>
  </si>
  <si>
    <t>C01494</t>
  </si>
  <si>
    <t>uracil</t>
  </si>
  <si>
    <t>C00106</t>
  </si>
  <si>
    <t>4-coumaric acid</t>
  </si>
  <si>
    <t>vanillic acid</t>
  </si>
  <si>
    <t>thymidine</t>
  </si>
  <si>
    <t>C00214</t>
  </si>
  <si>
    <t>2-hydroxycinnamic acid</t>
  </si>
  <si>
    <t>C01772</t>
  </si>
  <si>
    <t>5'-methylthioadenosine</t>
  </si>
  <si>
    <t>C00170</t>
  </si>
  <si>
    <t>4-hydroxybenzoic acid</t>
  </si>
  <si>
    <t>C00156</t>
  </si>
  <si>
    <t>3-hydroxyanthranilic acid</t>
  </si>
  <si>
    <t>C00632</t>
  </si>
  <si>
    <t>deoxyuridine</t>
  </si>
  <si>
    <t>dethiobiotin</t>
  </si>
  <si>
    <t>cholic acid</t>
  </si>
  <si>
    <t>C00695</t>
  </si>
  <si>
    <t>azelaic acid</t>
  </si>
  <si>
    <t>C08261</t>
  </si>
  <si>
    <t>salicylic acid</t>
  </si>
  <si>
    <t>C00805</t>
  </si>
  <si>
    <t>2-methylmaleic acid</t>
  </si>
  <si>
    <t>2'-deoxyadenosine</t>
  </si>
  <si>
    <t>maleic acid</t>
  </si>
  <si>
    <t>adenine</t>
  </si>
  <si>
    <t>xanthine</t>
  </si>
  <si>
    <t>C00262</t>
  </si>
  <si>
    <t>4-pyridoxic acid</t>
  </si>
  <si>
    <t>C00847</t>
  </si>
  <si>
    <t>uridine</t>
  </si>
  <si>
    <t>C00015</t>
  </si>
  <si>
    <t>3-hydroxybenzoic acid</t>
  </si>
  <si>
    <t>C00587</t>
  </si>
  <si>
    <t>4-acetamidobutanoic acid</t>
  </si>
  <si>
    <t>mandelic acid</t>
  </si>
  <si>
    <t>C01983</t>
  </si>
  <si>
    <t>adenosine</t>
  </si>
  <si>
    <t>3-amino-4-hydroxybenzoic acid</t>
  </si>
  <si>
    <t>C12115</t>
  </si>
  <si>
    <t>hypoxanthine</t>
  </si>
  <si>
    <t>2-hydroxybutyric acid</t>
  </si>
  <si>
    <t>C05984</t>
  </si>
  <si>
    <t>erythritol</t>
  </si>
  <si>
    <t>C00503</t>
  </si>
  <si>
    <t>N-acetyl-leucine</t>
  </si>
  <si>
    <t>caffeic acid</t>
  </si>
  <si>
    <t>C01197</t>
  </si>
  <si>
    <t>suberic acid</t>
  </si>
  <si>
    <t>C08278</t>
  </si>
  <si>
    <t>pterin</t>
  </si>
  <si>
    <t>N-acetyl-phenylalanine</t>
  </si>
  <si>
    <t>2,3-dihydroxybenzoic acid</t>
  </si>
  <si>
    <t>3,4-dihydroxybenzoic acid</t>
  </si>
  <si>
    <t>2-oxovaleric acid</t>
  </si>
  <si>
    <t>N-acetyl-methionine</t>
  </si>
  <si>
    <t>riboflavin</t>
  </si>
  <si>
    <t>4-methylcatechol</t>
  </si>
  <si>
    <t>C06730</t>
  </si>
  <si>
    <t>2,5-dihydroxybenzoic acid</t>
  </si>
  <si>
    <t>formyl-methionyl peptide</t>
  </si>
  <si>
    <t>mevalonic acid</t>
  </si>
  <si>
    <t>C00418</t>
  </si>
  <si>
    <t>itaconic acid</t>
  </si>
  <si>
    <t>C00490</t>
  </si>
  <si>
    <t>malonic acid</t>
  </si>
  <si>
    <t>C00383</t>
  </si>
  <si>
    <t>ribitol</t>
  </si>
  <si>
    <t>allantoin</t>
  </si>
  <si>
    <t>C01551</t>
  </si>
  <si>
    <t>xylitol</t>
  </si>
  <si>
    <t>glyceraldehyde</t>
  </si>
  <si>
    <t>lactic acid</t>
  </si>
  <si>
    <t>arabitol</t>
  </si>
  <si>
    <t>inosine</t>
  </si>
  <si>
    <t>4-quinolinecarboxylic acid</t>
  </si>
  <si>
    <t>C06414</t>
  </si>
  <si>
    <t>nicotinic acid</t>
  </si>
  <si>
    <t>C00153</t>
  </si>
  <si>
    <t>3-(4-hydroxyphenyl)lactic acid</t>
  </si>
  <si>
    <t>isonicotinic acid</t>
  </si>
  <si>
    <t>C07446</t>
  </si>
  <si>
    <t>pyruvic acid</t>
  </si>
  <si>
    <t>C00022</t>
  </si>
  <si>
    <t>guanine</t>
  </si>
  <si>
    <t>C00242</t>
  </si>
  <si>
    <t>N-acetyl-galactosamine</t>
  </si>
  <si>
    <t>n-acetyl-tryptophan</t>
  </si>
  <si>
    <t>maleamic acid</t>
  </si>
  <si>
    <t>C01596</t>
  </si>
  <si>
    <t>1-methylnicotinamide</t>
  </si>
  <si>
    <t>C02918</t>
  </si>
  <si>
    <t>2'-deoxyguanosine</t>
  </si>
  <si>
    <t>cytidine</t>
  </si>
  <si>
    <t>N-acetyl-glucosamine</t>
  </si>
  <si>
    <t>pantothenic acid</t>
  </si>
  <si>
    <t>C00864</t>
  </si>
  <si>
    <t>N-acetyl-mannosamine</t>
  </si>
  <si>
    <t>orotic acid</t>
  </si>
  <si>
    <t>C00295</t>
  </si>
  <si>
    <t>betaine</t>
  </si>
  <si>
    <t>4-hydroxy-2-quinolinecarboxylic acid</t>
  </si>
  <si>
    <t>C01717</t>
  </si>
  <si>
    <t>normetanephrine</t>
  </si>
  <si>
    <t>N-acetyl-alanine</t>
  </si>
  <si>
    <t>guanosine</t>
  </si>
  <si>
    <t>phenylalanine</t>
  </si>
  <si>
    <t>C00079</t>
  </si>
  <si>
    <t>xanthurenic acid</t>
  </si>
  <si>
    <t>C02470</t>
  </si>
  <si>
    <t>sorbitol</t>
  </si>
  <si>
    <t>C00794</t>
  </si>
  <si>
    <t>leucine</t>
  </si>
  <si>
    <t>C00123</t>
  </si>
  <si>
    <t>norleucine</t>
  </si>
  <si>
    <t>C01933</t>
  </si>
  <si>
    <t>mannitol</t>
  </si>
  <si>
    <t>C00392</t>
  </si>
  <si>
    <t>isoleucine</t>
  </si>
  <si>
    <t>C00407</t>
  </si>
  <si>
    <t>galactitol</t>
  </si>
  <si>
    <t>C01697</t>
  </si>
  <si>
    <t>glycocholic acid</t>
  </si>
  <si>
    <t>C01921</t>
  </si>
  <si>
    <t>tryptophan</t>
  </si>
  <si>
    <t>C00078</t>
  </si>
  <si>
    <t>methionine</t>
  </si>
  <si>
    <t>2',3'-cyclic AMP</t>
  </si>
  <si>
    <t>xanthosine</t>
  </si>
  <si>
    <t>proline</t>
  </si>
  <si>
    <t>C00148</t>
  </si>
  <si>
    <t>N-acetylglycine</t>
  </si>
  <si>
    <t>pipecolic acid</t>
  </si>
  <si>
    <t>valine</t>
  </si>
  <si>
    <t>3-methoxy-tyrosine</t>
  </si>
  <si>
    <t>uric acid</t>
  </si>
  <si>
    <t>3-dehydroshikimic acid</t>
  </si>
  <si>
    <t>glyceric acid</t>
  </si>
  <si>
    <t>C00258</t>
  </si>
  <si>
    <t>5-oxo-proline</t>
  </si>
  <si>
    <t>tyrosine</t>
  </si>
  <si>
    <t>C00082</t>
  </si>
  <si>
    <t>N-acetyl-serine</t>
  </si>
  <si>
    <t>2-amino-2-methylpropanoic acid</t>
  </si>
  <si>
    <t>histidinol</t>
  </si>
  <si>
    <t>C00860</t>
  </si>
  <si>
    <t>1-aminocyclopropane-1-carboxylic acid</t>
  </si>
  <si>
    <t>C01234</t>
  </si>
  <si>
    <t>quinic acid</t>
  </si>
  <si>
    <t>n-alpha-acetyl-asparagine</t>
  </si>
  <si>
    <t>trans-4-hydroxyproline</t>
  </si>
  <si>
    <t>myo-inositol</t>
  </si>
  <si>
    <t>alanine</t>
  </si>
  <si>
    <t>C00041</t>
  </si>
  <si>
    <t>sucrose</t>
  </si>
  <si>
    <t>C00089</t>
  </si>
  <si>
    <t>threonine</t>
  </si>
  <si>
    <t>C00188</t>
  </si>
  <si>
    <t>allothreonine</t>
  </si>
  <si>
    <t>C05519</t>
  </si>
  <si>
    <t>cis-4-hydroxy-proline</t>
  </si>
  <si>
    <t>4-guanidinobutanoic acid</t>
  </si>
  <si>
    <t>homoserine</t>
  </si>
  <si>
    <t>C00263</t>
  </si>
  <si>
    <t>2-oxoadipic acid</t>
  </si>
  <si>
    <t>C00322</t>
  </si>
  <si>
    <t>guanosine 3',5'-cyclic monophosphoric acid</t>
  </si>
  <si>
    <t>cellobiose</t>
  </si>
  <si>
    <t>cytidine 2',3'-cyclic mono-phosphoric acid</t>
  </si>
  <si>
    <t>maltose</t>
  </si>
  <si>
    <t>glycine</t>
  </si>
  <si>
    <t>C00037</t>
  </si>
  <si>
    <t>glutamine</t>
  </si>
  <si>
    <t>C00064</t>
  </si>
  <si>
    <t>serine</t>
  </si>
  <si>
    <t>C00065</t>
  </si>
  <si>
    <t>beta-alanine</t>
  </si>
  <si>
    <t>C00099</t>
  </si>
  <si>
    <t>4-aminobutanoic acid</t>
  </si>
  <si>
    <t>C00334</t>
  </si>
  <si>
    <t>asparagine</t>
  </si>
  <si>
    <t>C00152</t>
  </si>
  <si>
    <t>gluconic acid</t>
  </si>
  <si>
    <t>trehalose</t>
  </si>
  <si>
    <t>S-(5'-adenosyl)-homocysteine</t>
  </si>
  <si>
    <t>N-acetyl-aspartic acid</t>
  </si>
  <si>
    <t>histidine</t>
  </si>
  <si>
    <t>C00135</t>
  </si>
  <si>
    <t>uridine-5-monophosphoric acid</t>
  </si>
  <si>
    <t>citrulline</t>
  </si>
  <si>
    <t>C00327</t>
  </si>
  <si>
    <t>N-alpha-acetyl-lysine</t>
  </si>
  <si>
    <t>5-aminolevulinic acid</t>
  </si>
  <si>
    <t>glycerol 2-phosphoric acid</t>
  </si>
  <si>
    <t>N-acetyl-glutamic acid</t>
  </si>
  <si>
    <t>glucuronic acid</t>
  </si>
  <si>
    <t>C00191</t>
  </si>
  <si>
    <t>adenosine 5'-monophosphoric acid</t>
  </si>
  <si>
    <t>raffinose</t>
  </si>
  <si>
    <t>C00492</t>
  </si>
  <si>
    <t>sn-glycerol 3-phosphoric acid</t>
  </si>
  <si>
    <t>alpha-aminoadipic acid</t>
  </si>
  <si>
    <t>glutamic acid</t>
  </si>
  <si>
    <t>C00025</t>
  </si>
  <si>
    <t>ophthalmic acid</t>
  </si>
  <si>
    <t>3'-CMP</t>
  </si>
  <si>
    <t>C05822</t>
  </si>
  <si>
    <t>glutathione</t>
  </si>
  <si>
    <t>C00051</t>
  </si>
  <si>
    <t>fructose 6-phosphoric acid</t>
  </si>
  <si>
    <t>aspartic acid</t>
  </si>
  <si>
    <t>C00049</t>
  </si>
  <si>
    <t>alpha-glucose 1-phosphoric acid</t>
  </si>
  <si>
    <t>guanosine 5'-monophosphoric acid</t>
  </si>
  <si>
    <t>uridine 5'-diphospho-N-acetylglucosamine</t>
  </si>
  <si>
    <t>uridine 5'-diphospho-N-acetylgalactosamine</t>
  </si>
  <si>
    <t>fumaric acid</t>
  </si>
  <si>
    <t>C00122</t>
  </si>
  <si>
    <t>alpha-galactose 1-phosphoric acid</t>
  </si>
  <si>
    <t>uridine 5'-diphosphogalactose</t>
  </si>
  <si>
    <t>glucose 6-phosphoric acid</t>
  </si>
  <si>
    <t>cystathionine</t>
  </si>
  <si>
    <t>C00542</t>
  </si>
  <si>
    <t>mannose 6-phosphoric acid</t>
  </si>
  <si>
    <t>carnosine</t>
  </si>
  <si>
    <t>C00386</t>
  </si>
  <si>
    <t>arginine</t>
  </si>
  <si>
    <t>C00062</t>
  </si>
  <si>
    <t>tartaric acid</t>
  </si>
  <si>
    <t>isocitric acid</t>
  </si>
  <si>
    <t>C00311</t>
  </si>
  <si>
    <t>lysine</t>
  </si>
  <si>
    <t>C00047</t>
  </si>
  <si>
    <t>ornithine</t>
  </si>
  <si>
    <t>C00077</t>
  </si>
  <si>
    <t>malic acid</t>
  </si>
  <si>
    <t>2-phosphoglyceric acid</t>
  </si>
  <si>
    <t>indole-3-acetaldehyde</t>
  </si>
  <si>
    <t>C00637</t>
  </si>
  <si>
    <t>nicotinamide</t>
  </si>
  <si>
    <t>thymine</t>
  </si>
  <si>
    <t>C00178</t>
  </si>
  <si>
    <t>purine</t>
  </si>
  <si>
    <t>C00147</t>
  </si>
  <si>
    <t>acetylcholine</t>
  </si>
  <si>
    <t>C01996</t>
  </si>
  <si>
    <t>glucuronolactone</t>
  </si>
  <si>
    <t>C02670</t>
  </si>
  <si>
    <t>pyridoxine</t>
  </si>
  <si>
    <t>C00314</t>
  </si>
  <si>
    <t>biotin</t>
  </si>
  <si>
    <t>C00120</t>
  </si>
  <si>
    <t>creatinine</t>
  </si>
  <si>
    <t>C00791</t>
  </si>
  <si>
    <t>sphinganine</t>
  </si>
  <si>
    <t>C00836</t>
  </si>
  <si>
    <t>choline o-sulfuric acid</t>
  </si>
  <si>
    <t>phenethylamine</t>
  </si>
  <si>
    <t>5-methylcytosine</t>
  </si>
  <si>
    <t>C02376</t>
  </si>
  <si>
    <t>cytosine</t>
  </si>
  <si>
    <t>C00380</t>
  </si>
  <si>
    <t>tryptamine</t>
  </si>
  <si>
    <t>C00398</t>
  </si>
  <si>
    <t>deoxycytidine</t>
  </si>
  <si>
    <t>tyramine</t>
  </si>
  <si>
    <t>C00483</t>
  </si>
  <si>
    <t>trigonelline</t>
  </si>
  <si>
    <t>C01004</t>
  </si>
  <si>
    <t>bis(3-aminopropyl)amine</t>
  </si>
  <si>
    <t>C03375</t>
  </si>
  <si>
    <t>kynurenine</t>
  </si>
  <si>
    <t>pyridoxamine</t>
  </si>
  <si>
    <t>C00534</t>
  </si>
  <si>
    <t>N-acetylputrescine</t>
  </si>
  <si>
    <t>C02714</t>
  </si>
  <si>
    <t>norvaline</t>
  </si>
  <si>
    <t>3',5'-cyclic AMP</t>
  </si>
  <si>
    <t>3-ureidopropionic acid</t>
  </si>
  <si>
    <t>histamine</t>
  </si>
  <si>
    <t>C00388</t>
  </si>
  <si>
    <t>ectoine</t>
  </si>
  <si>
    <t>C06231</t>
  </si>
  <si>
    <t>carnitine</t>
  </si>
  <si>
    <t>3-methyl-histidine</t>
  </si>
  <si>
    <t>deoxycarnitine</t>
  </si>
  <si>
    <t>4-imidazoleacetic acid</t>
  </si>
  <si>
    <t>creatine</t>
  </si>
  <si>
    <t>C00300</t>
  </si>
  <si>
    <t>S-hexyl-glutathione</t>
  </si>
  <si>
    <t>C02886</t>
  </si>
  <si>
    <t>palatinose</t>
  </si>
  <si>
    <t>C01742</t>
  </si>
  <si>
    <t>guanidinoacetic acid</t>
  </si>
  <si>
    <t>C00581</t>
  </si>
  <si>
    <t>lactose</t>
  </si>
  <si>
    <t>C00052</t>
  </si>
  <si>
    <t>5-aminopentanoic acid</t>
  </si>
  <si>
    <t>C00431</t>
  </si>
  <si>
    <t>mannosamine</t>
  </si>
  <si>
    <t>melibiose</t>
  </si>
  <si>
    <t>N-acetylneuraminic acid</t>
  </si>
  <si>
    <t>C00270</t>
  </si>
  <si>
    <t>sn-glycero-3-phosphocholine</t>
  </si>
  <si>
    <t>glucosamine</t>
  </si>
  <si>
    <t>C00043</t>
  </si>
  <si>
    <t>galactosamine</t>
  </si>
  <si>
    <t>C00203</t>
  </si>
  <si>
    <t>N-methyl-aspartic acid</t>
  </si>
  <si>
    <t>S-carboxymethyl-cysteine</t>
  </si>
  <si>
    <t>nicotinamide mononucleotide</t>
  </si>
  <si>
    <t>C00455</t>
  </si>
  <si>
    <t>NAD+</t>
  </si>
  <si>
    <t>N-trimethyllysine</t>
  </si>
  <si>
    <t>cytidine 5'-diphosphocholine</t>
  </si>
  <si>
    <t>C00307</t>
  </si>
  <si>
    <t>S-(5'-adenosyl)-methionine</t>
  </si>
  <si>
    <t>uridine 5'-diphosphoric acid</t>
  </si>
  <si>
    <t>adenosine 5'-diphosphoric acid</t>
  </si>
  <si>
    <t>5-hydroxylysine</t>
  </si>
  <si>
    <t>adenosine 3',5'-diphosphoric acid</t>
  </si>
  <si>
    <t>agmatine sulfuric acid</t>
  </si>
  <si>
    <t>6-phosphogluconic acid</t>
  </si>
  <si>
    <t>C00811</t>
  </si>
  <si>
    <t>C03212</t>
  </si>
  <si>
    <t>C06672</t>
  </si>
  <si>
    <t>C00526</t>
  </si>
  <si>
    <t>C02226</t>
  </si>
  <si>
    <t>C00559</t>
  </si>
  <si>
    <t>C01384</t>
  </si>
  <si>
    <t>C00385</t>
  </si>
  <si>
    <t>C00299</t>
  </si>
  <si>
    <t>C02946</t>
  </si>
  <si>
    <t>C00212</t>
  </si>
  <si>
    <t>C02710</t>
  </si>
  <si>
    <t>C00715</t>
  </si>
  <si>
    <t>C03519</t>
  </si>
  <si>
    <t>C00196</t>
  </si>
  <si>
    <t>C00230</t>
  </si>
  <si>
    <t>C06255</t>
  </si>
  <si>
    <t>C02712</t>
  </si>
  <si>
    <t>C00255</t>
  </si>
  <si>
    <t>C00628</t>
  </si>
  <si>
    <t>C02154</t>
  </si>
  <si>
    <t>C01432</t>
  </si>
  <si>
    <t>C01904</t>
  </si>
  <si>
    <t>C00294</t>
  </si>
  <si>
    <t>C00253</t>
  </si>
  <si>
    <t>C03672</t>
  </si>
  <si>
    <t>C01132</t>
  </si>
  <si>
    <t>C00330</t>
  </si>
  <si>
    <t>C00475</t>
  </si>
  <si>
    <t>C03878</t>
  </si>
  <si>
    <t>C02711</t>
  </si>
  <si>
    <t>C00719</t>
  </si>
  <si>
    <t>C00387</t>
  </si>
  <si>
    <t>C00073</t>
  </si>
  <si>
    <t>C02353</t>
  </si>
  <si>
    <t>C01762</t>
  </si>
  <si>
    <t>C00183</t>
  </si>
  <si>
    <t>C00366</t>
  </si>
  <si>
    <t>C02637</t>
  </si>
  <si>
    <t>C03665</t>
  </si>
  <si>
    <t>C01157</t>
  </si>
  <si>
    <t>C01035</t>
  </si>
  <si>
    <t>C00942</t>
  </si>
  <si>
    <t>C06422</t>
  </si>
  <si>
    <t>C01971</t>
  </si>
  <si>
    <t>C00257</t>
  </si>
  <si>
    <t>C01083</t>
  </si>
  <si>
    <t>C00430</t>
  </si>
  <si>
    <t>C00624</t>
  </si>
  <si>
    <t>C00020</t>
  </si>
  <si>
    <t>C00144</t>
  </si>
  <si>
    <t>C00898</t>
  </si>
  <si>
    <t>C00711</t>
  </si>
  <si>
    <t>C15587</t>
  </si>
  <si>
    <t>C05332</t>
  </si>
  <si>
    <t>C00881</t>
  </si>
  <si>
    <t>C01718</t>
  </si>
  <si>
    <t>C01826</t>
  </si>
  <si>
    <t>C00575</t>
  </si>
  <si>
    <t>C02642</t>
  </si>
  <si>
    <t>C00487</t>
  </si>
  <si>
    <t>C02835</t>
  </si>
  <si>
    <t>C01970</t>
  </si>
  <si>
    <t>C03570</t>
  </si>
  <si>
    <t>C05402</t>
  </si>
  <si>
    <t>D07349</t>
  </si>
  <si>
    <t>C00329</t>
  </si>
  <si>
    <t>C02262</t>
  </si>
  <si>
    <t>C12269</t>
  </si>
  <si>
    <t>C00008</t>
  </si>
  <si>
    <t>C16741</t>
  </si>
  <si>
    <t>C00345</t>
  </si>
  <si>
    <t>method</t>
  </si>
  <si>
    <t>HILIC Negative</t>
  </si>
  <si>
    <t>C18 Positive</t>
  </si>
  <si>
    <t>average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</si>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</sst>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25"/>
  <sheetViews>
    <sheetView tabSelected="1" topLeftCell="P161" zoomScale="143" workbookViewId="0">
      <selection activeCell="BE319" sqref="BE319"/>
    </sheetView>
  </sheetViews>
  <sheetFormatPr baseColWidth="10" defaultColWidth="8.83203125" defaultRowHeight="15" x14ac:dyDescent="0.2"/>
  <cols>
    <col min="1" max="1" width="35.1640625" bestFit="1" customWidth="1"/>
    <col min="2" max="9" width="10.1640625" bestFit="1" customWidth="1"/>
    <col min="10" max="10" width="11.1640625" bestFit="1" customWidth="1"/>
    <col min="11" max="12" width="10.1640625" bestFit="1" customWidth="1"/>
    <col min="13" max="13" width="11.1640625" bestFit="1" customWidth="1"/>
    <col min="14" max="16" width="10.1640625" bestFit="1" customWidth="1"/>
    <col min="17" max="17" width="12.33203125" bestFit="1" customWidth="1"/>
    <col min="18" max="18" width="14.1640625" bestFit="1" customWidth="1"/>
    <col min="19" max="19" width="18.83203125" customWidth="1"/>
  </cols>
  <sheetData>
    <row r="1" spans="1: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420</v>
      </c>
      <c r="T1" s="5" t="str">
        <f>B1</f>
        <v>AgitWAO</v>
      </c>
      <c r="U1" s="5" t="str">
        <f t="shared" ref="U1:Y2" si="0">C1</f>
        <v>AgitWAO.1</v>
      </c>
      <c r="V1" s="5" t="str">
        <f t="shared" si="0"/>
        <v>AgitWAO.2</v>
      </c>
      <c r="W1" s="5" t="str">
        <f t="shared" si="0"/>
        <v>AgitWAO.3</v>
      </c>
      <c r="X1" s="5" t="str">
        <f t="shared" si="0"/>
        <v>AgitWOAO</v>
      </c>
      <c r="Y1" s="5" t="str">
        <f t="shared" si="0"/>
        <v>AgitWOAO.1</v>
      </c>
      <c r="Z1" s="5" t="str">
        <f t="shared" ref="Z1:Z2" si="1">H1</f>
        <v>AgitWOAO.2</v>
      </c>
      <c r="AA1" s="5" t="str">
        <f t="shared" ref="AA1:AA2" si="2">I1</f>
        <v>AgitWOAO.3</v>
      </c>
      <c r="AB1" s="5" t="str">
        <f t="shared" ref="AB1:AB2" si="3">J1</f>
        <v>StatWAO</v>
      </c>
      <c r="AC1" s="5" t="str">
        <f t="shared" ref="AC1:AC2" si="4">K1</f>
        <v>StatWAO.1</v>
      </c>
      <c r="AD1" s="5" t="str">
        <f t="shared" ref="AD1:AD2" si="5">L1</f>
        <v>StatWAO.2</v>
      </c>
      <c r="AE1" s="5" t="str">
        <f t="shared" ref="AE1:AE2" si="6">M1</f>
        <v>StatWAO.3</v>
      </c>
      <c r="AF1" s="5" t="str">
        <f t="shared" ref="AF1:AF2" si="7">N1</f>
        <v>StatWOAO</v>
      </c>
      <c r="AG1" s="5" t="str">
        <f t="shared" ref="AG1:AH2" si="8">O1</f>
        <v>StatWOAO.1</v>
      </c>
      <c r="AH1" s="5" t="str">
        <f t="shared" si="8"/>
        <v>StatWOAO.2</v>
      </c>
      <c r="AI1" s="5" t="str">
        <f t="shared" ref="AI1:AI2" si="9">Q1</f>
        <v>StatWOAO.3</v>
      </c>
      <c r="AJ1" s="5" t="str">
        <f t="shared" ref="AJ1:AJ2" si="10">R1</f>
        <v>KEGG_C_number</v>
      </c>
      <c r="AL1" t="s">
        <v>423</v>
      </c>
      <c r="AM1" t="s">
        <v>424</v>
      </c>
      <c r="AN1" t="str">
        <f>T1</f>
        <v>AgitWAO</v>
      </c>
      <c r="AO1" t="str">
        <f t="shared" ref="AO1:BC1" si="11">U1</f>
        <v>AgitWAO.1</v>
      </c>
      <c r="AP1" t="str">
        <f t="shared" si="11"/>
        <v>AgitWAO.2</v>
      </c>
      <c r="AQ1" t="str">
        <f t="shared" si="11"/>
        <v>AgitWAO.3</v>
      </c>
      <c r="AR1" t="str">
        <f t="shared" si="11"/>
        <v>AgitWOAO</v>
      </c>
      <c r="AS1" t="str">
        <f t="shared" si="11"/>
        <v>AgitWOAO.1</v>
      </c>
      <c r="AT1" t="str">
        <f t="shared" si="11"/>
        <v>AgitWOAO.2</v>
      </c>
      <c r="AU1" t="str">
        <f t="shared" si="11"/>
        <v>AgitWOAO.3</v>
      </c>
      <c r="AV1" t="str">
        <f t="shared" si="11"/>
        <v>StatWAO</v>
      </c>
      <c r="AW1" t="str">
        <f t="shared" si="11"/>
        <v>StatWAO.1</v>
      </c>
      <c r="AX1" t="str">
        <f t="shared" si="11"/>
        <v>StatWAO.2</v>
      </c>
      <c r="AY1" t="str">
        <f t="shared" si="11"/>
        <v>StatWAO.3</v>
      </c>
      <c r="AZ1" t="str">
        <f t="shared" si="11"/>
        <v>StatWOAO</v>
      </c>
      <c r="BA1" t="str">
        <f t="shared" si="11"/>
        <v>StatWOAO.1</v>
      </c>
      <c r="BB1" t="str">
        <f t="shared" si="11"/>
        <v>StatWOAO.2</v>
      </c>
      <c r="BC1" t="str">
        <f t="shared" si="11"/>
        <v>StatWOAO.3</v>
      </c>
      <c r="BD1" t="str">
        <f>AJ1</f>
        <v>KEGG_C_number</v>
      </c>
      <c r="BE1">
        <f t="shared" ref="BE1" si="12">AK1</f>
        <v>0</v>
      </c>
    </row>
    <row r="2" spans="1:57" x14ac:dyDescent="0.2">
      <c r="A2" t="s">
        <v>18</v>
      </c>
      <c r="B2">
        <v>457623.28120000003</v>
      </c>
      <c r="C2">
        <v>216552.29689999999</v>
      </c>
      <c r="D2">
        <v>166988.64060000001</v>
      </c>
      <c r="E2">
        <v>353752.5625</v>
      </c>
      <c r="F2">
        <v>632051.8125</v>
      </c>
      <c r="G2">
        <v>243729.75</v>
      </c>
      <c r="H2">
        <v>305193.875</v>
      </c>
      <c r="I2">
        <v>249789.8438</v>
      </c>
      <c r="J2">
        <v>596053.5625</v>
      </c>
      <c r="K2">
        <v>758373.4375</v>
      </c>
      <c r="L2">
        <v>437335.875</v>
      </c>
      <c r="M2">
        <v>641369.375</v>
      </c>
      <c r="N2">
        <v>869491.0625</v>
      </c>
      <c r="O2">
        <v>757594.8125</v>
      </c>
      <c r="P2">
        <v>769342.1875</v>
      </c>
      <c r="Q2">
        <v>957530.9375</v>
      </c>
      <c r="R2" s="2" t="s">
        <v>19</v>
      </c>
      <c r="S2" s="4" t="s">
        <v>421</v>
      </c>
      <c r="T2">
        <f>LOG10(B2)</f>
        <v>5.6605081107139368</v>
      </c>
      <c r="U2">
        <f t="shared" ref="U2:AI2" si="13">LOG10(C2)</f>
        <v>5.3355627945110484</v>
      </c>
      <c r="V2">
        <f t="shared" si="13"/>
        <v>5.2226869292761542</v>
      </c>
      <c r="W2">
        <f t="shared" si="13"/>
        <v>5.5486995944703796</v>
      </c>
      <c r="X2">
        <f t="shared" si="13"/>
        <v>5.8007526810680208</v>
      </c>
      <c r="Y2">
        <f t="shared" si="13"/>
        <v>5.3869085430225239</v>
      </c>
      <c r="Z2">
        <f t="shared" si="13"/>
        <v>5.4845758134230982</v>
      </c>
      <c r="AA2">
        <f t="shared" si="13"/>
        <v>5.3975747764268887</v>
      </c>
      <c r="AB2">
        <f t="shared" si="13"/>
        <v>5.7752852880170424</v>
      </c>
      <c r="AC2">
        <f t="shared" si="13"/>
        <v>5.8798831131628155</v>
      </c>
      <c r="AD2">
        <f t="shared" si="13"/>
        <v>5.6408151043183032</v>
      </c>
      <c r="AE2">
        <f t="shared" si="13"/>
        <v>5.8071082187884882</v>
      </c>
      <c r="AF2">
        <f t="shared" si="13"/>
        <v>5.9392651222480115</v>
      </c>
      <c r="AG2">
        <f t="shared" si="13"/>
        <v>5.8794369922487304</v>
      </c>
      <c r="AH2">
        <f t="shared" si="13"/>
        <v>5.8861195479792796</v>
      </c>
      <c r="AI2">
        <f t="shared" si="13"/>
        <v>5.9811528147748385</v>
      </c>
      <c r="AJ2" t="str">
        <f t="shared" si="10"/>
        <v>C08317</v>
      </c>
      <c r="AL2">
        <f>AVERAGE(T2:AI2)</f>
        <v>5.6641459652780979</v>
      </c>
      <c r="AM2">
        <f>STDEV(T2:AI2)</f>
        <v>0.24037541364392861</v>
      </c>
      <c r="AN2">
        <f>(T2-$AL2)/$AM2</f>
        <v>-1.5134054307026202E-2</v>
      </c>
      <c r="AO2">
        <f t="shared" ref="AO2:BC2" si="14">(U2-$AL2)/$AM2</f>
        <v>-1.3669583165181121</v>
      </c>
      <c r="AP2">
        <f t="shared" si="14"/>
        <v>-1.8365398911216559</v>
      </c>
      <c r="AQ2">
        <f t="shared" si="14"/>
        <v>-0.48027528713369383</v>
      </c>
      <c r="AR2">
        <f t="shared" si="14"/>
        <v>0.56830569199677095</v>
      </c>
      <c r="AS2">
        <f t="shared" si="14"/>
        <v>-1.1533518260159901</v>
      </c>
      <c r="AT2">
        <f t="shared" si="14"/>
        <v>-0.74704042785756541</v>
      </c>
      <c r="AU2">
        <f t="shared" si="14"/>
        <v>-1.1089785964802739</v>
      </c>
      <c r="AV2">
        <f t="shared" si="14"/>
        <v>0.46235728127992637</v>
      </c>
      <c r="AW2">
        <f t="shared" si="14"/>
        <v>0.89750089085355478</v>
      </c>
      <c r="AX2">
        <f t="shared" si="14"/>
        <v>-9.7060096979614416E-2</v>
      </c>
      <c r="AY2">
        <f t="shared" si="14"/>
        <v>0.59474574101893052</v>
      </c>
      <c r="AZ2">
        <f t="shared" si="14"/>
        <v>1.1445395050986844</v>
      </c>
      <c r="BA2">
        <f t="shared" si="14"/>
        <v>0.89564495680721345</v>
      </c>
      <c r="BB2">
        <f t="shared" si="14"/>
        <v>0.92344545282819246</v>
      </c>
      <c r="BC2">
        <f t="shared" si="14"/>
        <v>1.3187989765306332</v>
      </c>
      <c r="BD2" t="str">
        <f>AJ2</f>
        <v>C08317</v>
      </c>
    </row>
    <row r="3" spans="1:57" x14ac:dyDescent="0.2">
      <c r="A3" t="s">
        <v>20</v>
      </c>
      <c r="B3">
        <v>1417936.25</v>
      </c>
      <c r="C3">
        <v>433568.53120000003</v>
      </c>
      <c r="D3">
        <v>690996.3125</v>
      </c>
      <c r="E3">
        <v>743224.4375</v>
      </c>
      <c r="F3">
        <v>357667.40620000003</v>
      </c>
      <c r="G3">
        <v>283295.4375</v>
      </c>
      <c r="H3">
        <v>300707.59379999997</v>
      </c>
      <c r="I3">
        <v>214941.07810000001</v>
      </c>
      <c r="J3">
        <v>263128.03120000003</v>
      </c>
      <c r="K3">
        <v>55614.136720000002</v>
      </c>
      <c r="L3">
        <v>51574.84375</v>
      </c>
      <c r="M3">
        <v>53335.976560000003</v>
      </c>
      <c r="N3">
        <v>166006.82810000001</v>
      </c>
      <c r="O3">
        <v>133438.0625</v>
      </c>
      <c r="P3">
        <v>259551.0625</v>
      </c>
      <c r="Q3">
        <v>105048.21090000001</v>
      </c>
      <c r="R3" s="2" t="s">
        <v>21</v>
      </c>
      <c r="S3" s="4" t="s">
        <v>421</v>
      </c>
      <c r="T3">
        <f t="shared" ref="T3:T66" si="15">LOG10(B3)</f>
        <v>6.1516567055328055</v>
      </c>
      <c r="U3">
        <f t="shared" ref="U3:U66" si="16">LOG10(C3)</f>
        <v>5.6370577531840391</v>
      </c>
      <c r="V3">
        <f t="shared" ref="V3:V66" si="17">LOG10(D3)</f>
        <v>5.839475729769025</v>
      </c>
      <c r="W3">
        <f t="shared" ref="W3:W66" si="18">LOG10(E3)</f>
        <v>5.8711199809868218</v>
      </c>
      <c r="X3">
        <f t="shared" ref="X3:X66" si="19">LOG10(F3)</f>
        <v>5.5534793652190206</v>
      </c>
      <c r="Y3">
        <f t="shared" ref="Y3:Y66" si="20">LOG10(G3)</f>
        <v>5.452239580222769</v>
      </c>
      <c r="Z3">
        <f t="shared" ref="Z3:Z66" si="21">LOG10(H3)</f>
        <v>5.4781443955225146</v>
      </c>
      <c r="AA3">
        <f t="shared" ref="AA3:AA66" si="22">LOG10(I3)</f>
        <v>5.332319422877756</v>
      </c>
      <c r="AB3">
        <f t="shared" ref="AB3:AB66" si="23">LOG10(J3)</f>
        <v>5.4201671162233573</v>
      </c>
      <c r="AC3">
        <f t="shared" ref="AC3:AC66" si="24">LOG10(K3)</f>
        <v>4.745185200199205</v>
      </c>
      <c r="AD3">
        <f t="shared" ref="AD3:AD66" si="25">LOG10(L3)</f>
        <v>4.7124379209182754</v>
      </c>
      <c r="AE3">
        <f t="shared" ref="AE3:AE66" si="26">LOG10(M3)</f>
        <v>4.7270202512545838</v>
      </c>
      <c r="AF3">
        <f t="shared" ref="AF3:AF66" si="27">LOG10(N3)</f>
        <v>5.2201259515651479</v>
      </c>
      <c r="AG3">
        <f t="shared" ref="AG3:AG66" si="28">LOG10(O3)</f>
        <v>5.1252797274508319</v>
      </c>
      <c r="AH3">
        <f t="shared" ref="AH3:AH66" si="29">LOG10(P3)</f>
        <v>5.4142228110493607</v>
      </c>
      <c r="AI3">
        <f t="shared" ref="AI3:AI66" si="30">LOG10(Q3)</f>
        <v>5.0213886602367444</v>
      </c>
      <c r="AJ3" t="str">
        <f t="shared" ref="AJ3:AJ66" si="31">R3</f>
        <v>C00423</v>
      </c>
      <c r="AL3">
        <f t="shared" ref="AL3:AL66" si="32">AVERAGE(T3:AI3)</f>
        <v>5.356332535763265</v>
      </c>
      <c r="AM3">
        <f t="shared" ref="AM3:AM66" si="33">STDEV(T3:AI3)</f>
        <v>0.42023381572026391</v>
      </c>
      <c r="AN3">
        <f t="shared" ref="AN3:AN66" si="34">(T3-$AL3)/$AM3</f>
        <v>1.8925753711808908</v>
      </c>
      <c r="AO3">
        <f t="shared" ref="AO3:AO66" si="35">(U3-$AL3)/$AM3</f>
        <v>0.66802148451481091</v>
      </c>
      <c r="AP3">
        <f t="shared" ref="AP3:AP66" si="36">(V3-$AL3)/$AM3</f>
        <v>1.1497008949117338</v>
      </c>
      <c r="AQ3">
        <f t="shared" ref="AQ3:AQ66" si="37">(W3-$AL3)/$AM3</f>
        <v>1.225002429519461</v>
      </c>
      <c r="AR3">
        <f t="shared" ref="AR3:AR66" si="38">(X3-$AL3)/$AM3</f>
        <v>0.46913604303321932</v>
      </c>
      <c r="AS3">
        <f t="shared" ref="AS3:AS66" si="39">(Y3-$AL3)/$AM3</f>
        <v>0.22822305314750363</v>
      </c>
      <c r="AT3">
        <f t="shared" ref="AT3:AT66" si="40">(Z3-$AL3)/$AM3</f>
        <v>0.28986686744965784</v>
      </c>
      <c r="AU3">
        <f t="shared" ref="AU3:AU66" si="41">(AA3-$AL3)/$AM3</f>
        <v>-5.7142266964764578E-2</v>
      </c>
      <c r="AV3">
        <f t="shared" ref="AV3:AV66" si="42">(AB3-$AL3)/$AM3</f>
        <v>0.15190253157205463</v>
      </c>
      <c r="AW3">
        <f t="shared" ref="AW3:AW66" si="43">(AC3-$AL3)/$AM3</f>
        <v>-1.4543030872386553</v>
      </c>
      <c r="AX3">
        <f t="shared" ref="AX3:AX66" si="44">(AD3-$AL3)/$AM3</f>
        <v>-1.5322294179048395</v>
      </c>
      <c r="AY3">
        <f t="shared" ref="AY3:AY66" si="45">(AE3-$AL3)/$AM3</f>
        <v>-1.4975289016902771</v>
      </c>
      <c r="AZ3">
        <f t="shared" ref="AZ3:AZ66" si="46">(AF3-$AL3)/$AM3</f>
        <v>-0.32412095148664899</v>
      </c>
      <c r="BA3">
        <f t="shared" ref="BA3:BA66" si="47">(AG3-$AL3)/$AM3</f>
        <v>-0.549819647227622</v>
      </c>
      <c r="BB3">
        <f t="shared" ref="BB3:BB66" si="48">(AH3-$AL3)/$AM3</f>
        <v>0.13775729872398318</v>
      </c>
      <c r="BC3">
        <f t="shared" ref="BC3:BC66" si="49">(AI3-$AL3)/$AM3</f>
        <v>-0.79704170154046317</v>
      </c>
      <c r="BD3" t="str">
        <f t="shared" ref="BD3:BD66" si="50">AJ3</f>
        <v>C00423</v>
      </c>
    </row>
    <row r="4" spans="1:57" x14ac:dyDescent="0.2">
      <c r="A4" t="s">
        <v>22</v>
      </c>
      <c r="B4">
        <v>31961.572270000001</v>
      </c>
      <c r="C4">
        <v>31392.691409999999</v>
      </c>
      <c r="D4">
        <v>23347.375</v>
      </c>
      <c r="F4">
        <v>40455.4375</v>
      </c>
      <c r="G4">
        <v>20058.353520000001</v>
      </c>
      <c r="J4">
        <v>31732.335940000001</v>
      </c>
      <c r="K4">
        <v>69581.320309999996</v>
      </c>
      <c r="L4">
        <v>38060.859380000002</v>
      </c>
      <c r="M4">
        <v>29522.33008</v>
      </c>
      <c r="N4">
        <v>156785.1562</v>
      </c>
      <c r="O4">
        <v>103448.00780000001</v>
      </c>
      <c r="P4">
        <v>188831.8125</v>
      </c>
      <c r="Q4">
        <v>146404.89060000001</v>
      </c>
      <c r="R4" s="2" t="s">
        <v>349</v>
      </c>
      <c r="S4" s="4" t="s">
        <v>421</v>
      </c>
      <c r="T4">
        <f t="shared" si="15"/>
        <v>4.5046281352035864</v>
      </c>
      <c r="U4">
        <f t="shared" si="16"/>
        <v>4.4968285509470824</v>
      </c>
      <c r="V4">
        <f t="shared" si="17"/>
        <v>4.3682380589021168</v>
      </c>
      <c r="W4" t="e">
        <f t="shared" si="18"/>
        <v>#NUM!</v>
      </c>
      <c r="X4">
        <f t="shared" si="19"/>
        <v>4.6069769021544369</v>
      </c>
      <c r="Y4">
        <f t="shared" si="20"/>
        <v>4.3022952813002862</v>
      </c>
      <c r="Z4" t="e">
        <f t="shared" si="21"/>
        <v>#NUM!</v>
      </c>
      <c r="AA4" t="e">
        <f t="shared" si="22"/>
        <v>#NUM!</v>
      </c>
      <c r="AB4">
        <f t="shared" si="23"/>
        <v>4.5015020433740025</v>
      </c>
      <c r="AC4">
        <f t="shared" si="24"/>
        <v>4.8424926652553069</v>
      </c>
      <c r="AD4">
        <f t="shared" si="25"/>
        <v>4.5804785900408147</v>
      </c>
      <c r="AE4">
        <f t="shared" si="26"/>
        <v>4.470150631638508</v>
      </c>
      <c r="AF4">
        <f t="shared" si="27"/>
        <v>5.1953049430066516</v>
      </c>
      <c r="AG4">
        <f t="shared" si="28"/>
        <v>5.0147221314464341</v>
      </c>
      <c r="AH4">
        <f t="shared" si="29"/>
        <v>5.2760751617276744</v>
      </c>
      <c r="AI4">
        <f t="shared" si="30"/>
        <v>5.1655555844076035</v>
      </c>
      <c r="AJ4" t="str">
        <f t="shared" si="31"/>
        <v>C03212</v>
      </c>
      <c r="AL4" t="e">
        <f t="shared" si="32"/>
        <v>#NUM!</v>
      </c>
      <c r="AM4" t="e">
        <f t="shared" si="33"/>
        <v>#NUM!</v>
      </c>
      <c r="AN4" t="e">
        <f t="shared" si="34"/>
        <v>#NUM!</v>
      </c>
      <c r="AO4" t="e">
        <f t="shared" si="35"/>
        <v>#NUM!</v>
      </c>
      <c r="AP4" t="e">
        <f t="shared" si="36"/>
        <v>#NUM!</v>
      </c>
      <c r="AQ4" t="e">
        <f t="shared" si="37"/>
        <v>#NUM!</v>
      </c>
      <c r="AR4" t="e">
        <f t="shared" si="38"/>
        <v>#NUM!</v>
      </c>
      <c r="AS4" t="e">
        <f t="shared" si="39"/>
        <v>#NUM!</v>
      </c>
      <c r="AT4" t="e">
        <f t="shared" si="40"/>
        <v>#NUM!</v>
      </c>
      <c r="AU4" t="e">
        <f t="shared" si="41"/>
        <v>#NUM!</v>
      </c>
      <c r="AV4" t="e">
        <f t="shared" si="42"/>
        <v>#NUM!</v>
      </c>
      <c r="AW4" t="e">
        <f t="shared" si="43"/>
        <v>#NUM!</v>
      </c>
      <c r="AX4" t="e">
        <f t="shared" si="44"/>
        <v>#NUM!</v>
      </c>
      <c r="AY4" t="e">
        <f t="shared" si="45"/>
        <v>#NUM!</v>
      </c>
      <c r="AZ4" t="e">
        <f t="shared" si="46"/>
        <v>#NUM!</v>
      </c>
      <c r="BA4" t="e">
        <f t="shared" si="47"/>
        <v>#NUM!</v>
      </c>
      <c r="BB4" t="e">
        <f t="shared" si="48"/>
        <v>#NUM!</v>
      </c>
      <c r="BC4" t="e">
        <f t="shared" si="49"/>
        <v>#NUM!</v>
      </c>
      <c r="BD4" t="str">
        <f t="shared" si="50"/>
        <v>C03212</v>
      </c>
    </row>
    <row r="5" spans="1:57" x14ac:dyDescent="0.2">
      <c r="A5" t="s">
        <v>23</v>
      </c>
      <c r="B5">
        <v>322739.0625</v>
      </c>
      <c r="C5">
        <v>6599498.5</v>
      </c>
      <c r="D5">
        <v>631714.0625</v>
      </c>
      <c r="E5">
        <v>25770238</v>
      </c>
      <c r="F5">
        <v>575790.75</v>
      </c>
      <c r="G5">
        <v>5900013</v>
      </c>
      <c r="H5">
        <v>91647.867190000004</v>
      </c>
      <c r="I5">
        <v>813240.6875</v>
      </c>
      <c r="J5">
        <v>418085952</v>
      </c>
      <c r="K5">
        <v>1377870.875</v>
      </c>
      <c r="L5">
        <v>605610.4375</v>
      </c>
      <c r="M5">
        <v>776497.125</v>
      </c>
      <c r="N5">
        <v>1369815.75</v>
      </c>
      <c r="O5">
        <v>451171.09379999997</v>
      </c>
      <c r="P5">
        <v>9967617</v>
      </c>
      <c r="Q5">
        <v>3175492.75</v>
      </c>
      <c r="R5" s="2" t="s">
        <v>24</v>
      </c>
      <c r="S5" s="4" t="s">
        <v>421</v>
      </c>
      <c r="T5">
        <f t="shared" si="15"/>
        <v>5.5088515331185217</v>
      </c>
      <c r="U5">
        <f t="shared" si="16"/>
        <v>6.8195109344876572</v>
      </c>
      <c r="V5">
        <f t="shared" si="17"/>
        <v>5.8005205447718016</v>
      </c>
      <c r="W5">
        <f t="shared" si="18"/>
        <v>7.4111184294787043</v>
      </c>
      <c r="X5">
        <f t="shared" si="19"/>
        <v>5.7602646837163851</v>
      </c>
      <c r="Y5">
        <f t="shared" si="20"/>
        <v>6.7708529685611349</v>
      </c>
      <c r="Z5">
        <f t="shared" si="21"/>
        <v>4.9621223626054718</v>
      </c>
      <c r="AA5">
        <f t="shared" si="22"/>
        <v>5.9102190988330561</v>
      </c>
      <c r="AB5">
        <f t="shared" si="23"/>
        <v>8.621265575176869</v>
      </c>
      <c r="AC5">
        <f t="shared" si="24"/>
        <v>6.1392085202548161</v>
      </c>
      <c r="AD5">
        <f t="shared" si="25"/>
        <v>5.7821933514814363</v>
      </c>
      <c r="AE5">
        <f t="shared" si="26"/>
        <v>5.8901398520813872</v>
      </c>
      <c r="AF5">
        <f t="shared" si="27"/>
        <v>6.1366621553756797</v>
      </c>
      <c r="AG5">
        <f t="shared" si="28"/>
        <v>5.6543412669387152</v>
      </c>
      <c r="AH5">
        <f t="shared" si="29"/>
        <v>6.9985913421178445</v>
      </c>
      <c r="AI5">
        <f t="shared" si="30"/>
        <v>6.5018111255340481</v>
      </c>
      <c r="AJ5" t="str">
        <f t="shared" si="31"/>
        <v>C01494</v>
      </c>
      <c r="AL5">
        <f t="shared" si="32"/>
        <v>6.2917296090333457</v>
      </c>
      <c r="AM5">
        <f t="shared" si="33"/>
        <v>0.88152097130868468</v>
      </c>
      <c r="AN5">
        <f t="shared" si="34"/>
        <v>-0.88809920738763837</v>
      </c>
      <c r="AO5">
        <f t="shared" si="35"/>
        <v>0.59871669833422136</v>
      </c>
      <c r="AP5">
        <f t="shared" si="36"/>
        <v>-0.55722901694818106</v>
      </c>
      <c r="AQ5">
        <f t="shared" si="37"/>
        <v>1.2698379923775847</v>
      </c>
      <c r="AR5">
        <f t="shared" si="38"/>
        <v>-0.6028953849253984</v>
      </c>
      <c r="AS5">
        <f t="shared" si="39"/>
        <v>0.54351895771293379</v>
      </c>
      <c r="AT5">
        <f t="shared" si="40"/>
        <v>-1.5083103972602843</v>
      </c>
      <c r="AU5">
        <f t="shared" si="41"/>
        <v>-0.43278665240817621</v>
      </c>
      <c r="AV5">
        <f t="shared" si="42"/>
        <v>2.6426324976536302</v>
      </c>
      <c r="AW5">
        <f t="shared" si="43"/>
        <v>-0.17302037471904999</v>
      </c>
      <c r="AX5">
        <f t="shared" si="44"/>
        <v>-0.57801943928283883</v>
      </c>
      <c r="AY5">
        <f t="shared" si="45"/>
        <v>-0.45556460937709514</v>
      </c>
      <c r="AZ5">
        <f t="shared" si="46"/>
        <v>-0.17590897857762425</v>
      </c>
      <c r="BA5">
        <f t="shared" si="47"/>
        <v>-0.72305522255287835</v>
      </c>
      <c r="BB5">
        <f t="shared" si="48"/>
        <v>0.80186604299964526</v>
      </c>
      <c r="BC5">
        <f t="shared" si="49"/>
        <v>0.2383170943611477</v>
      </c>
      <c r="BD5" t="str">
        <f t="shared" si="50"/>
        <v>C01494</v>
      </c>
    </row>
    <row r="6" spans="1:57" x14ac:dyDescent="0.2">
      <c r="A6" t="s">
        <v>25</v>
      </c>
      <c r="B6">
        <v>159438192</v>
      </c>
      <c r="C6">
        <v>126090232</v>
      </c>
      <c r="D6">
        <v>156075136</v>
      </c>
      <c r="E6">
        <v>108090128</v>
      </c>
      <c r="F6">
        <v>116324208</v>
      </c>
      <c r="G6">
        <v>82206664</v>
      </c>
      <c r="H6">
        <v>97750840</v>
      </c>
      <c r="I6">
        <v>99180376</v>
      </c>
      <c r="J6">
        <v>72914152</v>
      </c>
      <c r="K6">
        <v>69018112</v>
      </c>
      <c r="L6">
        <v>65793552</v>
      </c>
      <c r="M6">
        <v>92596856</v>
      </c>
      <c r="N6">
        <v>79463680</v>
      </c>
      <c r="O6">
        <v>91937320</v>
      </c>
      <c r="P6">
        <v>84967680</v>
      </c>
      <c r="Q6">
        <v>88720096</v>
      </c>
      <c r="R6" s="2" t="s">
        <v>26</v>
      </c>
      <c r="S6" s="4" t="s">
        <v>421</v>
      </c>
      <c r="T6">
        <f t="shared" si="15"/>
        <v>8.2025923609001872</v>
      </c>
      <c r="U6">
        <f t="shared" si="16"/>
        <v>8.1006814438069235</v>
      </c>
      <c r="V6">
        <f t="shared" si="17"/>
        <v>8.1933337220369253</v>
      </c>
      <c r="W6">
        <f t="shared" si="18"/>
        <v>8.0337860311327365</v>
      </c>
      <c r="X6">
        <f t="shared" si="19"/>
        <v>8.0656701042966379</v>
      </c>
      <c r="Y6">
        <f t="shared" si="20"/>
        <v>7.9149070246096249</v>
      </c>
      <c r="Z6">
        <f t="shared" si="21"/>
        <v>7.9901204980965215</v>
      </c>
      <c r="AA6">
        <f t="shared" si="22"/>
        <v>7.9964257504000971</v>
      </c>
      <c r="AB6">
        <f t="shared" si="23"/>
        <v>7.8628118292646647</v>
      </c>
      <c r="AC6">
        <f t="shared" si="24"/>
        <v>7.8389630749323356</v>
      </c>
      <c r="AD6">
        <f t="shared" si="25"/>
        <v>7.8181833333094577</v>
      </c>
      <c r="AE6">
        <f t="shared" si="26"/>
        <v>7.966596241055246</v>
      </c>
      <c r="AF6">
        <f t="shared" si="27"/>
        <v>7.9001686735646253</v>
      </c>
      <c r="AG6">
        <f t="shared" si="28"/>
        <v>7.9634918397865393</v>
      </c>
      <c r="AH6">
        <f t="shared" si="29"/>
        <v>7.9292537602213677</v>
      </c>
      <c r="AI6">
        <f t="shared" si="30"/>
        <v>7.9480220030717588</v>
      </c>
      <c r="AJ6" t="str">
        <f t="shared" si="31"/>
        <v>C00106</v>
      </c>
      <c r="AL6">
        <f t="shared" si="32"/>
        <v>7.9828129806553525</v>
      </c>
      <c r="AM6">
        <f t="shared" si="33"/>
        <v>0.11389169693558351</v>
      </c>
      <c r="AN6">
        <f t="shared" si="34"/>
        <v>1.9297225887251519</v>
      </c>
      <c r="AO6">
        <f t="shared" si="35"/>
        <v>1.034917086345958</v>
      </c>
      <c r="AP6">
        <f t="shared" si="36"/>
        <v>1.8484292274672327</v>
      </c>
      <c r="AQ6">
        <f t="shared" si="37"/>
        <v>0.44755721311461405</v>
      </c>
      <c r="AR6">
        <f t="shared" si="38"/>
        <v>0.72750802622731048</v>
      </c>
      <c r="AS6">
        <f t="shared" si="39"/>
        <v>-0.59623271821241541</v>
      </c>
      <c r="AT6">
        <f t="shared" si="40"/>
        <v>6.4161985796928334E-2</v>
      </c>
      <c r="AU6">
        <f t="shared" si="41"/>
        <v>0.11952381175287846</v>
      </c>
      <c r="AV6">
        <f t="shared" si="42"/>
        <v>-1.0536426677228257</v>
      </c>
      <c r="AW6">
        <f t="shared" si="43"/>
        <v>-1.2630412013649914</v>
      </c>
      <c r="AX6">
        <f t="shared" si="44"/>
        <v>-1.4454929707387569</v>
      </c>
      <c r="AY6">
        <f t="shared" si="45"/>
        <v>-0.14238737358772163</v>
      </c>
      <c r="AZ6">
        <f t="shared" si="46"/>
        <v>-0.72563943917237772</v>
      </c>
      <c r="BA6">
        <f t="shared" si="47"/>
        <v>-0.16964485900794971</v>
      </c>
      <c r="BB6">
        <f t="shared" si="48"/>
        <v>-0.47026448700889534</v>
      </c>
      <c r="BC6">
        <f t="shared" si="49"/>
        <v>-0.3054742226140621</v>
      </c>
      <c r="BD6" t="str">
        <f t="shared" si="50"/>
        <v>C00106</v>
      </c>
    </row>
    <row r="7" spans="1:57" x14ac:dyDescent="0.2">
      <c r="A7" t="s">
        <v>27</v>
      </c>
      <c r="B7">
        <v>534492.875</v>
      </c>
      <c r="C7">
        <v>493318.96879999997</v>
      </c>
      <c r="D7">
        <v>842712.75</v>
      </c>
      <c r="E7">
        <v>119724120</v>
      </c>
      <c r="F7">
        <v>178036.10939999999</v>
      </c>
      <c r="G7">
        <v>335746.9375</v>
      </c>
      <c r="H7">
        <v>85455.84375</v>
      </c>
      <c r="I7">
        <v>140483.5625</v>
      </c>
      <c r="J7">
        <v>2370556928</v>
      </c>
      <c r="K7">
        <v>5430929.5</v>
      </c>
      <c r="L7">
        <v>2697161</v>
      </c>
      <c r="M7">
        <v>3293674</v>
      </c>
      <c r="N7">
        <v>5436615</v>
      </c>
      <c r="O7">
        <v>2255521.5</v>
      </c>
      <c r="P7">
        <v>24847314</v>
      </c>
      <c r="Q7">
        <v>6687557</v>
      </c>
      <c r="R7" s="2" t="s">
        <v>348</v>
      </c>
      <c r="S7" s="4" t="s">
        <v>421</v>
      </c>
      <c r="T7">
        <f t="shared" si="15"/>
        <v>5.7279419202673267</v>
      </c>
      <c r="U7">
        <f t="shared" si="16"/>
        <v>5.693127815009646</v>
      </c>
      <c r="V7">
        <f t="shared" si="17"/>
        <v>5.9256795647207605</v>
      </c>
      <c r="W7">
        <f t="shared" si="18"/>
        <v>8.0781816535613888</v>
      </c>
      <c r="X7">
        <f t="shared" si="19"/>
        <v>5.250508095133215</v>
      </c>
      <c r="Y7">
        <f t="shared" si="20"/>
        <v>5.5260120599619986</v>
      </c>
      <c r="Z7">
        <f t="shared" si="21"/>
        <v>4.931741766548873</v>
      </c>
      <c r="AA7">
        <f t="shared" si="22"/>
        <v>5.1476255119053809</v>
      </c>
      <c r="AB7">
        <f t="shared" si="23"/>
        <v>9.3748503891927939</v>
      </c>
      <c r="AC7">
        <f t="shared" si="24"/>
        <v>6.7348741651642534</v>
      </c>
      <c r="AD7">
        <f t="shared" si="25"/>
        <v>6.430906871304451</v>
      </c>
      <c r="AE7">
        <f t="shared" si="26"/>
        <v>6.5176806115284851</v>
      </c>
      <c r="AF7">
        <f t="shared" si="27"/>
        <v>6.735328579038911</v>
      </c>
      <c r="AG7">
        <f t="shared" si="28"/>
        <v>6.353246971219523</v>
      </c>
      <c r="AH7">
        <f t="shared" si="29"/>
        <v>7.395279448279557</v>
      </c>
      <c r="AI7">
        <f t="shared" si="30"/>
        <v>6.8252674966636731</v>
      </c>
      <c r="AJ7" t="str">
        <f t="shared" si="31"/>
        <v>C00811</v>
      </c>
      <c r="AL7">
        <f t="shared" si="32"/>
        <v>6.4155158074687639</v>
      </c>
      <c r="AM7">
        <f t="shared" si="33"/>
        <v>1.1564574334272397</v>
      </c>
      <c r="AN7">
        <f t="shared" si="34"/>
        <v>-0.59455183332063122</v>
      </c>
      <c r="AO7">
        <f t="shared" si="35"/>
        <v>-0.62465592902824985</v>
      </c>
      <c r="AP7">
        <f t="shared" si="36"/>
        <v>-0.42356616732216473</v>
      </c>
      <c r="AQ7">
        <f t="shared" si="37"/>
        <v>1.4377233420215065</v>
      </c>
      <c r="AR7">
        <f t="shared" si="38"/>
        <v>-1.0073935094030826</v>
      </c>
      <c r="AS7">
        <f t="shared" si="39"/>
        <v>-0.76916254917456051</v>
      </c>
      <c r="AT7">
        <f t="shared" si="40"/>
        <v>-1.2830338567003079</v>
      </c>
      <c r="AU7">
        <f t="shared" si="41"/>
        <v>-1.0963570806111769</v>
      </c>
      <c r="AV7">
        <f t="shared" si="42"/>
        <v>2.5589654198977665</v>
      </c>
      <c r="AW7">
        <f t="shared" si="43"/>
        <v>0.27615228063262942</v>
      </c>
      <c r="AX7">
        <f t="shared" si="44"/>
        <v>1.330880272010934E-2</v>
      </c>
      <c r="AY7">
        <f t="shared" si="45"/>
        <v>8.8342900574341826E-2</v>
      </c>
      <c r="AZ7">
        <f t="shared" si="46"/>
        <v>0.2765452167334515</v>
      </c>
      <c r="BA7">
        <f t="shared" si="47"/>
        <v>-5.3844468848890575E-2</v>
      </c>
      <c r="BB7">
        <f t="shared" si="48"/>
        <v>0.8472111575323592</v>
      </c>
      <c r="BC7">
        <f t="shared" si="49"/>
        <v>0.35431627429691237</v>
      </c>
      <c r="BD7" t="str">
        <f t="shared" si="50"/>
        <v>C00811</v>
      </c>
    </row>
    <row r="8" spans="1:57" x14ac:dyDescent="0.2">
      <c r="A8" t="s">
        <v>28</v>
      </c>
      <c r="B8">
        <v>1279168.125</v>
      </c>
      <c r="C8">
        <v>2064502.25</v>
      </c>
      <c r="D8">
        <v>1338531.375</v>
      </c>
      <c r="E8">
        <v>530710880</v>
      </c>
      <c r="F8">
        <v>11885790</v>
      </c>
      <c r="G8">
        <v>612993.5</v>
      </c>
      <c r="H8">
        <v>487744.625</v>
      </c>
      <c r="I8">
        <v>365580.375</v>
      </c>
      <c r="J8">
        <v>3023468.25</v>
      </c>
      <c r="K8">
        <v>418328.125</v>
      </c>
      <c r="L8">
        <v>128849.2969</v>
      </c>
      <c r="M8">
        <v>469397.4375</v>
      </c>
      <c r="N8">
        <v>997208.9375</v>
      </c>
      <c r="O8">
        <v>479989</v>
      </c>
      <c r="P8">
        <v>2046227.5</v>
      </c>
      <c r="Q8">
        <v>8522167</v>
      </c>
      <c r="R8" s="2" t="s">
        <v>350</v>
      </c>
      <c r="S8" s="4" t="s">
        <v>421</v>
      </c>
      <c r="T8">
        <f t="shared" si="15"/>
        <v>6.1069276288893004</v>
      </c>
      <c r="U8">
        <f t="shared" si="16"/>
        <v>6.3148153605272874</v>
      </c>
      <c r="V8">
        <f t="shared" si="17"/>
        <v>6.1266285554479962</v>
      </c>
      <c r="W8">
        <f t="shared" si="18"/>
        <v>8.7248579911069211</v>
      </c>
      <c r="X8">
        <f t="shared" si="19"/>
        <v>7.0750280528070233</v>
      </c>
      <c r="Y8">
        <f t="shared" si="20"/>
        <v>5.7874558694138489</v>
      </c>
      <c r="Z8">
        <f t="shared" si="21"/>
        <v>5.6881924921194464</v>
      </c>
      <c r="AA8">
        <f t="shared" si="22"/>
        <v>5.5629828739929508</v>
      </c>
      <c r="AB8">
        <f t="shared" si="23"/>
        <v>6.4805054123591264</v>
      </c>
      <c r="AC8">
        <f t="shared" si="24"/>
        <v>5.6215170640109227</v>
      </c>
      <c r="AD8">
        <f t="shared" si="25"/>
        <v>5.1100820530515856</v>
      </c>
      <c r="AE8">
        <f t="shared" si="26"/>
        <v>5.6715407144005212</v>
      </c>
      <c r="AF8">
        <f t="shared" si="27"/>
        <v>5.998786162219961</v>
      </c>
      <c r="AG8">
        <f t="shared" si="28"/>
        <v>5.6812312846796686</v>
      </c>
      <c r="AH8">
        <f t="shared" si="29"/>
        <v>6.3109539170115356</v>
      </c>
      <c r="AI8">
        <f t="shared" si="30"/>
        <v>6.9305500403628919</v>
      </c>
      <c r="AJ8" t="str">
        <f t="shared" si="31"/>
        <v>C06672</v>
      </c>
      <c r="AL8">
        <f t="shared" si="32"/>
        <v>6.1995034670250613</v>
      </c>
      <c r="AM8">
        <f t="shared" si="33"/>
        <v>0.84624169488440448</v>
      </c>
      <c r="AN8">
        <f t="shared" si="34"/>
        <v>-0.10939645103212103</v>
      </c>
      <c r="AO8">
        <f t="shared" si="35"/>
        <v>0.13626354527234397</v>
      </c>
      <c r="AP8">
        <f t="shared" si="36"/>
        <v>-8.6115954836070402E-2</v>
      </c>
      <c r="AQ8">
        <f t="shared" si="37"/>
        <v>2.9842000687839185</v>
      </c>
      <c r="AR8">
        <f t="shared" si="38"/>
        <v>1.0346034603052234</v>
      </c>
      <c r="AS8">
        <f t="shared" si="39"/>
        <v>-0.48691479054042297</v>
      </c>
      <c r="AT8">
        <f t="shared" si="40"/>
        <v>-0.60421387648059488</v>
      </c>
      <c r="AU8">
        <f t="shared" si="41"/>
        <v>-0.75217351836942803</v>
      </c>
      <c r="AV8">
        <f t="shared" si="42"/>
        <v>0.33205873337693387</v>
      </c>
      <c r="AW8">
        <f t="shared" si="43"/>
        <v>-0.68300392961976519</v>
      </c>
      <c r="AX8">
        <f t="shared" si="44"/>
        <v>-1.2873643789464773</v>
      </c>
      <c r="AY8">
        <f t="shared" si="45"/>
        <v>-0.62389120722379332</v>
      </c>
      <c r="AZ8">
        <f t="shared" si="46"/>
        <v>-0.23718673520632663</v>
      </c>
      <c r="BA8">
        <f t="shared" si="47"/>
        <v>-0.61243990396406545</v>
      </c>
      <c r="BB8">
        <f t="shared" si="48"/>
        <v>0.13170049485885749</v>
      </c>
      <c r="BC8">
        <f t="shared" si="49"/>
        <v>0.86387444362179611</v>
      </c>
      <c r="BD8" t="str">
        <f t="shared" si="50"/>
        <v>C06672</v>
      </c>
    </row>
    <row r="9" spans="1:57" x14ac:dyDescent="0.2">
      <c r="A9" t="s">
        <v>29</v>
      </c>
      <c r="B9">
        <v>668406.6875</v>
      </c>
      <c r="C9">
        <v>470183</v>
      </c>
      <c r="D9">
        <v>2180145.75</v>
      </c>
      <c r="E9">
        <v>392520.5</v>
      </c>
      <c r="F9">
        <v>763027.375</v>
      </c>
      <c r="G9">
        <v>774827.4375</v>
      </c>
      <c r="H9">
        <v>662797.8125</v>
      </c>
      <c r="I9">
        <v>1042501.188</v>
      </c>
      <c r="J9">
        <v>83178.710940000004</v>
      </c>
      <c r="K9">
        <v>68849.4375</v>
      </c>
      <c r="L9">
        <v>37380.195310000003</v>
      </c>
      <c r="M9">
        <v>72503.6875</v>
      </c>
      <c r="N9">
        <v>113237.0625</v>
      </c>
      <c r="O9">
        <v>98128.695309999996</v>
      </c>
      <c r="P9">
        <v>82696.398440000004</v>
      </c>
      <c r="Q9">
        <v>78267.992190000004</v>
      </c>
      <c r="R9" s="2" t="s">
        <v>30</v>
      </c>
      <c r="S9" s="4" t="s">
        <v>421</v>
      </c>
      <c r="T9">
        <f t="shared" si="15"/>
        <v>5.8250407864185689</v>
      </c>
      <c r="U9">
        <f t="shared" si="16"/>
        <v>5.6722669226628861</v>
      </c>
      <c r="V9">
        <f t="shared" si="17"/>
        <v>6.3384855286068227</v>
      </c>
      <c r="W9">
        <f t="shared" si="18"/>
        <v>5.5938623433854433</v>
      </c>
      <c r="X9">
        <f t="shared" si="19"/>
        <v>5.8825401193417388</v>
      </c>
      <c r="Y9">
        <f t="shared" si="20"/>
        <v>5.8892049911692546</v>
      </c>
      <c r="Z9">
        <f t="shared" si="21"/>
        <v>5.8213810664027807</v>
      </c>
      <c r="AA9">
        <f t="shared" si="22"/>
        <v>6.0180765585537577</v>
      </c>
      <c r="AB9">
        <f t="shared" si="23"/>
        <v>4.9200121856131558</v>
      </c>
      <c r="AC9">
        <f t="shared" si="24"/>
        <v>4.8379003964209168</v>
      </c>
      <c r="AD9">
        <f t="shared" si="25"/>
        <v>4.5726415662197439</v>
      </c>
      <c r="AE9">
        <f t="shared" si="26"/>
        <v>4.860360095125154</v>
      </c>
      <c r="AF9">
        <f t="shared" si="27"/>
        <v>5.0539885947394492</v>
      </c>
      <c r="AG9">
        <f t="shared" si="28"/>
        <v>4.9917960246325341</v>
      </c>
      <c r="AH9">
        <f t="shared" si="29"/>
        <v>4.917486595747298</v>
      </c>
      <c r="AI9">
        <f t="shared" si="30"/>
        <v>4.8935841929997981</v>
      </c>
      <c r="AJ9" t="str">
        <f t="shared" si="31"/>
        <v>C00214</v>
      </c>
      <c r="AL9">
        <f t="shared" si="32"/>
        <v>5.3805392480024556</v>
      </c>
      <c r="AM9">
        <f t="shared" si="33"/>
        <v>0.54751086677978689</v>
      </c>
      <c r="AN9">
        <f t="shared" si="34"/>
        <v>0.81185884223718108</v>
      </c>
      <c r="AO9">
        <f t="shared" si="35"/>
        <v>0.53282535993530444</v>
      </c>
      <c r="AP9">
        <f t="shared" si="36"/>
        <v>1.749638845049007</v>
      </c>
      <c r="AQ9">
        <f t="shared" si="37"/>
        <v>0.38962349119691148</v>
      </c>
      <c r="AR9">
        <f t="shared" si="38"/>
        <v>0.91687837045468512</v>
      </c>
      <c r="AS9">
        <f t="shared" si="39"/>
        <v>0.92905141072092767</v>
      </c>
      <c r="AT9">
        <f t="shared" si="40"/>
        <v>0.8051745547867547</v>
      </c>
      <c r="AU9">
        <f t="shared" si="41"/>
        <v>1.1644285971911577</v>
      </c>
      <c r="AV9">
        <f t="shared" si="42"/>
        <v>-0.84112862471189531</v>
      </c>
      <c r="AW9">
        <f t="shared" si="43"/>
        <v>-0.9911015187207094</v>
      </c>
      <c r="AX9">
        <f t="shared" si="44"/>
        <v>-1.4755829168001782</v>
      </c>
      <c r="AY9">
        <f t="shared" si="45"/>
        <v>-0.95008005217642877</v>
      </c>
      <c r="AZ9">
        <f t="shared" si="46"/>
        <v>-0.59642771144184004</v>
      </c>
      <c r="BA9">
        <f t="shared" si="47"/>
        <v>-0.71001919223326948</v>
      </c>
      <c r="BB9">
        <f t="shared" si="48"/>
        <v>-0.84574148268257299</v>
      </c>
      <c r="BC9">
        <f t="shared" si="49"/>
        <v>-0.8893979728050122</v>
      </c>
      <c r="BD9" t="str">
        <f t="shared" si="50"/>
        <v>C00214</v>
      </c>
    </row>
    <row r="10" spans="1:57" x14ac:dyDescent="0.2">
      <c r="A10" t="s">
        <v>31</v>
      </c>
      <c r="B10">
        <v>534492.875</v>
      </c>
      <c r="C10">
        <v>493318.96879999997</v>
      </c>
      <c r="D10">
        <v>842712.75</v>
      </c>
      <c r="E10">
        <v>119724120</v>
      </c>
      <c r="F10">
        <v>178036.10939999999</v>
      </c>
      <c r="G10">
        <v>335746.9375</v>
      </c>
      <c r="H10">
        <v>85455.84375</v>
      </c>
      <c r="I10">
        <v>140483.5625</v>
      </c>
      <c r="J10">
        <v>2370556928</v>
      </c>
      <c r="K10">
        <v>5430929.5</v>
      </c>
      <c r="L10">
        <v>2697161</v>
      </c>
      <c r="M10">
        <v>3293674</v>
      </c>
      <c r="N10">
        <v>5436615</v>
      </c>
      <c r="O10">
        <v>2255521.5</v>
      </c>
      <c r="P10">
        <v>24847314</v>
      </c>
      <c r="Q10">
        <v>6687557</v>
      </c>
      <c r="R10" s="2" t="s">
        <v>32</v>
      </c>
      <c r="S10" s="4" t="s">
        <v>421</v>
      </c>
      <c r="T10">
        <f t="shared" si="15"/>
        <v>5.7279419202673267</v>
      </c>
      <c r="U10">
        <f t="shared" si="16"/>
        <v>5.693127815009646</v>
      </c>
      <c r="V10">
        <f t="shared" si="17"/>
        <v>5.9256795647207605</v>
      </c>
      <c r="W10">
        <f t="shared" si="18"/>
        <v>8.0781816535613888</v>
      </c>
      <c r="X10">
        <f t="shared" si="19"/>
        <v>5.250508095133215</v>
      </c>
      <c r="Y10">
        <f t="shared" si="20"/>
        <v>5.5260120599619986</v>
      </c>
      <c r="Z10">
        <f t="shared" si="21"/>
        <v>4.931741766548873</v>
      </c>
      <c r="AA10">
        <f t="shared" si="22"/>
        <v>5.1476255119053809</v>
      </c>
      <c r="AB10">
        <f t="shared" si="23"/>
        <v>9.3748503891927939</v>
      </c>
      <c r="AC10">
        <f t="shared" si="24"/>
        <v>6.7348741651642534</v>
      </c>
      <c r="AD10">
        <f t="shared" si="25"/>
        <v>6.430906871304451</v>
      </c>
      <c r="AE10">
        <f t="shared" si="26"/>
        <v>6.5176806115284851</v>
      </c>
      <c r="AF10">
        <f t="shared" si="27"/>
        <v>6.735328579038911</v>
      </c>
      <c r="AG10">
        <f t="shared" si="28"/>
        <v>6.353246971219523</v>
      </c>
      <c r="AH10">
        <f t="shared" si="29"/>
        <v>7.395279448279557</v>
      </c>
      <c r="AI10">
        <f t="shared" si="30"/>
        <v>6.8252674966636731</v>
      </c>
      <c r="AJ10" t="str">
        <f t="shared" si="31"/>
        <v>C01772</v>
      </c>
      <c r="AL10">
        <f t="shared" si="32"/>
        <v>6.4155158074687639</v>
      </c>
      <c r="AM10">
        <f t="shared" si="33"/>
        <v>1.1564574334272397</v>
      </c>
      <c r="AN10">
        <f t="shared" si="34"/>
        <v>-0.59455183332063122</v>
      </c>
      <c r="AO10">
        <f t="shared" si="35"/>
        <v>-0.62465592902824985</v>
      </c>
      <c r="AP10">
        <f t="shared" si="36"/>
        <v>-0.42356616732216473</v>
      </c>
      <c r="AQ10">
        <f t="shared" si="37"/>
        <v>1.4377233420215065</v>
      </c>
      <c r="AR10">
        <f t="shared" si="38"/>
        <v>-1.0073935094030826</v>
      </c>
      <c r="AS10">
        <f t="shared" si="39"/>
        <v>-0.76916254917456051</v>
      </c>
      <c r="AT10">
        <f t="shared" si="40"/>
        <v>-1.2830338567003079</v>
      </c>
      <c r="AU10">
        <f t="shared" si="41"/>
        <v>-1.0963570806111769</v>
      </c>
      <c r="AV10">
        <f t="shared" si="42"/>
        <v>2.5589654198977665</v>
      </c>
      <c r="AW10">
        <f t="shared" si="43"/>
        <v>0.27615228063262942</v>
      </c>
      <c r="AX10">
        <f t="shared" si="44"/>
        <v>1.330880272010934E-2</v>
      </c>
      <c r="AY10">
        <f t="shared" si="45"/>
        <v>8.8342900574341826E-2</v>
      </c>
      <c r="AZ10">
        <f t="shared" si="46"/>
        <v>0.2765452167334515</v>
      </c>
      <c r="BA10">
        <f t="shared" si="47"/>
        <v>-5.3844468848890575E-2</v>
      </c>
      <c r="BB10">
        <f t="shared" si="48"/>
        <v>0.8472111575323592</v>
      </c>
      <c r="BC10">
        <f t="shared" si="49"/>
        <v>0.35431627429691237</v>
      </c>
      <c r="BD10" t="str">
        <f t="shared" si="50"/>
        <v>C01772</v>
      </c>
    </row>
    <row r="11" spans="1:57" x14ac:dyDescent="0.2">
      <c r="A11" t="s">
        <v>33</v>
      </c>
      <c r="B11">
        <v>1270705.25</v>
      </c>
      <c r="C11">
        <v>996488.625</v>
      </c>
      <c r="D11">
        <v>1812856.75</v>
      </c>
      <c r="E11">
        <v>712411.75</v>
      </c>
      <c r="F11">
        <v>1776854.75</v>
      </c>
      <c r="G11">
        <v>1098300.875</v>
      </c>
      <c r="H11">
        <v>897596.875</v>
      </c>
      <c r="I11">
        <v>1014011.188</v>
      </c>
      <c r="J11">
        <v>907196.875</v>
      </c>
      <c r="K11">
        <v>1002378.688</v>
      </c>
      <c r="L11">
        <v>993148.3125</v>
      </c>
      <c r="M11">
        <v>1040774.625</v>
      </c>
      <c r="N11">
        <v>2222713.75</v>
      </c>
      <c r="O11">
        <v>1563793.875</v>
      </c>
      <c r="P11">
        <v>1965726.125</v>
      </c>
      <c r="Q11">
        <v>2557368</v>
      </c>
      <c r="R11" s="2" t="s">
        <v>34</v>
      </c>
      <c r="S11" s="4" t="s">
        <v>421</v>
      </c>
      <c r="T11">
        <f t="shared" si="15"/>
        <v>6.1040448242411403</v>
      </c>
      <c r="U11">
        <f t="shared" si="16"/>
        <v>5.9984723455574018</v>
      </c>
      <c r="V11">
        <f t="shared" si="17"/>
        <v>6.2583634879661885</v>
      </c>
      <c r="W11">
        <f t="shared" si="18"/>
        <v>5.8527310737868259</v>
      </c>
      <c r="X11">
        <f t="shared" si="19"/>
        <v>6.2496519276073652</v>
      </c>
      <c r="Y11">
        <f t="shared" si="20"/>
        <v>6.0407213295972966</v>
      </c>
      <c r="Z11">
        <f t="shared" si="21"/>
        <v>5.9530813319105063</v>
      </c>
      <c r="AA11">
        <f t="shared" si="22"/>
        <v>6.0060427467723256</v>
      </c>
      <c r="AB11">
        <f t="shared" si="23"/>
        <v>5.9577015455472955</v>
      </c>
      <c r="AC11">
        <f t="shared" si="24"/>
        <v>6.0010318243643939</v>
      </c>
      <c r="AD11">
        <f t="shared" si="25"/>
        <v>5.9970141090096352</v>
      </c>
      <c r="AE11">
        <f t="shared" si="26"/>
        <v>6.0173566952014754</v>
      </c>
      <c r="AF11">
        <f t="shared" si="27"/>
        <v>6.3468835361132463</v>
      </c>
      <c r="AG11">
        <f t="shared" si="28"/>
        <v>6.1941795077713948</v>
      </c>
      <c r="AH11">
        <f t="shared" si="29"/>
        <v>6.2935230095863108</v>
      </c>
      <c r="AI11">
        <f t="shared" si="30"/>
        <v>6.4077932266066551</v>
      </c>
      <c r="AJ11" t="str">
        <f t="shared" si="31"/>
        <v>C00170</v>
      </c>
      <c r="AL11">
        <f t="shared" si="32"/>
        <v>6.1049120326024662</v>
      </c>
      <c r="AM11">
        <f t="shared" si="33"/>
        <v>0.1637010401560666</v>
      </c>
      <c r="AN11">
        <f t="shared" si="34"/>
        <v>-5.2975128349774508E-3</v>
      </c>
      <c r="AO11">
        <f t="shared" si="35"/>
        <v>-0.65020776253827484</v>
      </c>
      <c r="AP11">
        <f t="shared" si="36"/>
        <v>0.93738839543980457</v>
      </c>
      <c r="AQ11">
        <f t="shared" si="37"/>
        <v>-1.5404969850846406</v>
      </c>
      <c r="AR11">
        <f t="shared" si="38"/>
        <v>0.88417211562558984</v>
      </c>
      <c r="AS11">
        <f t="shared" si="39"/>
        <v>-0.39212153413303014</v>
      </c>
      <c r="AT11">
        <f t="shared" si="40"/>
        <v>-0.92748769676240339</v>
      </c>
      <c r="AU11">
        <f t="shared" si="41"/>
        <v>-0.60396247779416778</v>
      </c>
      <c r="AV11">
        <f t="shared" si="42"/>
        <v>-0.89926421307296278</v>
      </c>
      <c r="AW11">
        <f t="shared" si="43"/>
        <v>-0.63457268285550728</v>
      </c>
      <c r="AX11">
        <f t="shared" si="44"/>
        <v>-0.6591156872916939</v>
      </c>
      <c r="AY11">
        <f t="shared" si="45"/>
        <v>-0.5348489986228474</v>
      </c>
      <c r="AZ11">
        <f t="shared" si="46"/>
        <v>1.4781305193912837</v>
      </c>
      <c r="BA11">
        <f t="shared" si="47"/>
        <v>0.54530792891617719</v>
      </c>
      <c r="BB11">
        <f t="shared" si="48"/>
        <v>1.1521672483206573</v>
      </c>
      <c r="BC11">
        <f t="shared" si="49"/>
        <v>1.8502093432969822</v>
      </c>
      <c r="BD11" t="str">
        <f t="shared" si="50"/>
        <v>C00170</v>
      </c>
    </row>
    <row r="12" spans="1:57" x14ac:dyDescent="0.2">
      <c r="A12" t="s">
        <v>35</v>
      </c>
      <c r="B12">
        <v>50388380</v>
      </c>
      <c r="C12">
        <v>54387112</v>
      </c>
      <c r="D12">
        <v>74473520</v>
      </c>
      <c r="E12">
        <v>62547792</v>
      </c>
      <c r="F12">
        <v>60840420</v>
      </c>
      <c r="G12">
        <v>42969272</v>
      </c>
      <c r="H12">
        <v>75195712</v>
      </c>
      <c r="I12">
        <v>56850860</v>
      </c>
      <c r="J12">
        <v>1040922368</v>
      </c>
      <c r="K12">
        <v>742209664</v>
      </c>
      <c r="L12">
        <v>971240960</v>
      </c>
      <c r="M12">
        <v>1124610304</v>
      </c>
      <c r="N12">
        <v>378594656</v>
      </c>
      <c r="O12">
        <v>488487776</v>
      </c>
      <c r="P12">
        <v>534048352</v>
      </c>
      <c r="Q12">
        <v>338990080</v>
      </c>
      <c r="R12" s="2" t="s">
        <v>36</v>
      </c>
      <c r="S12" s="4" t="s">
        <v>421</v>
      </c>
      <c r="T12">
        <f t="shared" si="15"/>
        <v>7.7023303958955518</v>
      </c>
      <c r="U12">
        <f t="shared" si="16"/>
        <v>7.7354959980362814</v>
      </c>
      <c r="V12">
        <f t="shared" si="17"/>
        <v>7.8720018813101111</v>
      </c>
      <c r="W12">
        <f t="shared" si="18"/>
        <v>7.7962119832677876</v>
      </c>
      <c r="X12">
        <f t="shared" si="19"/>
        <v>7.7841922034587521</v>
      </c>
      <c r="Y12">
        <f t="shared" si="20"/>
        <v>7.6331579957816196</v>
      </c>
      <c r="Z12">
        <f t="shared" si="21"/>
        <v>7.8761930758598009</v>
      </c>
      <c r="AA12">
        <f t="shared" si="22"/>
        <v>7.7547370387762502</v>
      </c>
      <c r="AB12">
        <f t="shared" si="23"/>
        <v>9.0174183410317408</v>
      </c>
      <c r="AC12">
        <f t="shared" si="24"/>
        <v>8.8705266048154439</v>
      </c>
      <c r="AD12">
        <f t="shared" si="25"/>
        <v>8.9873269895537451</v>
      </c>
      <c r="AE12">
        <f t="shared" si="26"/>
        <v>9.0510020583213837</v>
      </c>
      <c r="AF12">
        <f t="shared" si="27"/>
        <v>8.5781744794479273</v>
      </c>
      <c r="AG12">
        <f t="shared" si="28"/>
        <v>8.6888537003328459</v>
      </c>
      <c r="AH12">
        <f t="shared" si="29"/>
        <v>8.7275805792310841</v>
      </c>
      <c r="AI12">
        <f t="shared" si="30"/>
        <v>8.530186989458846</v>
      </c>
      <c r="AJ12" t="str">
        <f t="shared" si="31"/>
        <v>C00156</v>
      </c>
      <c r="AL12">
        <f t="shared" si="32"/>
        <v>8.2878368946611989</v>
      </c>
      <c r="AM12">
        <f t="shared" si="33"/>
        <v>0.55612726221926811</v>
      </c>
      <c r="AN12">
        <f t="shared" si="34"/>
        <v>-1.05282826169884</v>
      </c>
      <c r="AO12">
        <f t="shared" si="35"/>
        <v>-0.99319154831712286</v>
      </c>
      <c r="AP12">
        <f t="shared" si="36"/>
        <v>-0.74773355237372563</v>
      </c>
      <c r="AQ12">
        <f t="shared" si="37"/>
        <v>-0.88401512529981841</v>
      </c>
      <c r="AR12">
        <f t="shared" si="38"/>
        <v>-0.90562848725058787</v>
      </c>
      <c r="AS12">
        <f t="shared" si="39"/>
        <v>-1.1772105835398778</v>
      </c>
      <c r="AT12">
        <f t="shared" si="40"/>
        <v>-0.74019715767700733</v>
      </c>
      <c r="AU12">
        <f t="shared" si="41"/>
        <v>-0.95859327909509984</v>
      </c>
      <c r="AV12">
        <f t="shared" si="42"/>
        <v>1.3118965674494929</v>
      </c>
      <c r="AW12">
        <f t="shared" si="43"/>
        <v>1.0477632544554234</v>
      </c>
      <c r="AX12">
        <f t="shared" si="44"/>
        <v>1.2577878165892782</v>
      </c>
      <c r="AY12">
        <f t="shared" si="45"/>
        <v>1.3722851144083752</v>
      </c>
      <c r="AZ12">
        <f t="shared" si="46"/>
        <v>0.52207040458350173</v>
      </c>
      <c r="BA12">
        <f t="shared" si="47"/>
        <v>0.72108819853815287</v>
      </c>
      <c r="BB12">
        <f t="shared" si="48"/>
        <v>0.7907249193557867</v>
      </c>
      <c r="BC12">
        <f t="shared" si="49"/>
        <v>0.43578171987204989</v>
      </c>
      <c r="BD12" t="str">
        <f t="shared" si="50"/>
        <v>C00156</v>
      </c>
    </row>
    <row r="13" spans="1:57" x14ac:dyDescent="0.2">
      <c r="A13" t="s">
        <v>37</v>
      </c>
      <c r="B13">
        <v>277983.28120000003</v>
      </c>
      <c r="C13">
        <v>128409.63280000001</v>
      </c>
      <c r="D13">
        <v>371758.21879999997</v>
      </c>
      <c r="E13">
        <v>179308.1562</v>
      </c>
      <c r="F13">
        <v>222448.17189999999</v>
      </c>
      <c r="G13">
        <v>165495.4062</v>
      </c>
      <c r="H13">
        <v>192480.70310000001</v>
      </c>
      <c r="I13">
        <v>281554.75</v>
      </c>
      <c r="J13">
        <v>79388.320309999996</v>
      </c>
      <c r="K13">
        <v>97640.140620000006</v>
      </c>
      <c r="L13">
        <v>126512.61719999999</v>
      </c>
      <c r="M13">
        <v>152005.4375</v>
      </c>
      <c r="N13">
        <v>270971.84379999997</v>
      </c>
      <c r="O13">
        <v>358015.53120000003</v>
      </c>
      <c r="P13">
        <v>267885.71879999997</v>
      </c>
      <c r="Q13">
        <v>129592.13280000001</v>
      </c>
      <c r="R13" s="2" t="s">
        <v>38</v>
      </c>
      <c r="S13" s="4" t="s">
        <v>421</v>
      </c>
      <c r="T13">
        <f t="shared" si="15"/>
        <v>5.4440186768499972</v>
      </c>
      <c r="U13">
        <f t="shared" si="16"/>
        <v>5.1085976040674712</v>
      </c>
      <c r="V13">
        <f t="shared" si="17"/>
        <v>5.5702605786466668</v>
      </c>
      <c r="W13">
        <f t="shared" si="18"/>
        <v>5.2536000447885636</v>
      </c>
      <c r="X13">
        <f t="shared" si="19"/>
        <v>5.3472288410258271</v>
      </c>
      <c r="Y13">
        <f t="shared" si="20"/>
        <v>5.2187859431891992</v>
      </c>
      <c r="Z13">
        <f t="shared" si="21"/>
        <v>5.2843871964041886</v>
      </c>
      <c r="AA13">
        <f t="shared" si="22"/>
        <v>5.449562858551074</v>
      </c>
      <c r="AB13">
        <f t="shared" si="23"/>
        <v>4.8997566132831523</v>
      </c>
      <c r="AC13">
        <f t="shared" si="24"/>
        <v>4.9896283962105965</v>
      </c>
      <c r="AD13">
        <f t="shared" si="25"/>
        <v>5.102133840192363</v>
      </c>
      <c r="AE13">
        <f t="shared" si="26"/>
        <v>5.1818591236948235</v>
      </c>
      <c r="AF13">
        <f t="shared" si="27"/>
        <v>5.4329241664553338</v>
      </c>
      <c r="AG13">
        <f t="shared" si="28"/>
        <v>5.5539018673370286</v>
      </c>
      <c r="AH13">
        <f t="shared" si="29"/>
        <v>5.4279495616422686</v>
      </c>
      <c r="AI13">
        <f t="shared" si="30"/>
        <v>5.1125786374508184</v>
      </c>
      <c r="AJ13" t="str">
        <f t="shared" si="31"/>
        <v>C00632</v>
      </c>
      <c r="AL13">
        <f t="shared" si="32"/>
        <v>5.2735733718618363</v>
      </c>
      <c r="AM13">
        <f t="shared" si="33"/>
        <v>0.19934921707740538</v>
      </c>
      <c r="AN13">
        <f t="shared" si="34"/>
        <v>0.85500865008152316</v>
      </c>
      <c r="AO13">
        <f t="shared" si="35"/>
        <v>-0.82757168657605795</v>
      </c>
      <c r="AP13">
        <f t="shared" si="36"/>
        <v>1.488278765948851</v>
      </c>
      <c r="AQ13">
        <f t="shared" si="37"/>
        <v>-0.10019265370637125</v>
      </c>
      <c r="AR13">
        <f t="shared" si="38"/>
        <v>0.36947960089249354</v>
      </c>
      <c r="AS13">
        <f t="shared" si="39"/>
        <v>-0.27483142134119171</v>
      </c>
      <c r="AT13">
        <f t="shared" si="40"/>
        <v>5.4245633370877261E-2</v>
      </c>
      <c r="AU13">
        <f t="shared" si="41"/>
        <v>0.88282005452222434</v>
      </c>
      <c r="AV13">
        <f t="shared" si="42"/>
        <v>-1.8751854863494877</v>
      </c>
      <c r="AW13">
        <f t="shared" si="43"/>
        <v>-1.4243596228471098</v>
      </c>
      <c r="AX13">
        <f t="shared" si="44"/>
        <v>-0.8599960119377088</v>
      </c>
      <c r="AY13">
        <f t="shared" si="45"/>
        <v>-0.46006826368122145</v>
      </c>
      <c r="AZ13">
        <f t="shared" si="46"/>
        <v>0.79935500590214592</v>
      </c>
      <c r="BA13">
        <f t="shared" si="47"/>
        <v>1.4062181912976537</v>
      </c>
      <c r="BB13">
        <f t="shared" si="48"/>
        <v>0.77440078292602244</v>
      </c>
      <c r="BC13">
        <f t="shared" si="49"/>
        <v>-0.80760153850268268</v>
      </c>
      <c r="BD13" t="str">
        <f t="shared" si="50"/>
        <v>C00632</v>
      </c>
    </row>
    <row r="14" spans="1:57" x14ac:dyDescent="0.2">
      <c r="A14" t="s">
        <v>39</v>
      </c>
      <c r="B14">
        <v>2409860.25</v>
      </c>
      <c r="C14">
        <v>1044806.688</v>
      </c>
      <c r="D14">
        <v>8273924</v>
      </c>
      <c r="E14">
        <v>1042241</v>
      </c>
      <c r="F14">
        <v>966967.6875</v>
      </c>
      <c r="G14">
        <v>1212064.375</v>
      </c>
      <c r="H14">
        <v>1121449</v>
      </c>
      <c r="I14">
        <v>1952394.5</v>
      </c>
      <c r="J14">
        <v>248147.6562</v>
      </c>
      <c r="K14">
        <v>143603.5312</v>
      </c>
      <c r="L14">
        <v>127336.5469</v>
      </c>
      <c r="M14">
        <v>228556.92189999999</v>
      </c>
      <c r="N14">
        <v>171459.5625</v>
      </c>
      <c r="O14">
        <v>207448.67189999999</v>
      </c>
      <c r="P14">
        <v>202975.8125</v>
      </c>
      <c r="Q14">
        <v>147117.5</v>
      </c>
      <c r="R14" s="2" t="s">
        <v>351</v>
      </c>
      <c r="S14" s="4" t="s">
        <v>421</v>
      </c>
      <c r="T14">
        <f t="shared" si="15"/>
        <v>6.381991858170875</v>
      </c>
      <c r="U14">
        <f t="shared" si="16"/>
        <v>6.0190359439388459</v>
      </c>
      <c r="V14">
        <f t="shared" si="17"/>
        <v>6.9177115273726173</v>
      </c>
      <c r="W14">
        <f t="shared" si="18"/>
        <v>6.0179681535779341</v>
      </c>
      <c r="X14">
        <f t="shared" si="19"/>
        <v>5.9854119618028445</v>
      </c>
      <c r="Y14">
        <f t="shared" si="20"/>
        <v>6.083525686632921</v>
      </c>
      <c r="Z14">
        <f t="shared" si="21"/>
        <v>6.0497795280106459</v>
      </c>
      <c r="AA14">
        <f t="shared" si="22"/>
        <v>6.2905675755553627</v>
      </c>
      <c r="AB14">
        <f t="shared" si="23"/>
        <v>5.3947101775618984</v>
      </c>
      <c r="AC14">
        <f t="shared" si="24"/>
        <v>5.1571651193061356</v>
      </c>
      <c r="AD14">
        <f t="shared" si="25"/>
        <v>5.1049530685323061</v>
      </c>
      <c r="AE14">
        <f t="shared" si="26"/>
        <v>5.3589943785347911</v>
      </c>
      <c r="AF14">
        <f t="shared" si="27"/>
        <v>5.2341617112367542</v>
      </c>
      <c r="AG14">
        <f t="shared" si="28"/>
        <v>5.3169106587921418</v>
      </c>
      <c r="AH14">
        <f t="shared" si="29"/>
        <v>5.3074442885356881</v>
      </c>
      <c r="AI14">
        <f t="shared" si="30"/>
        <v>5.1676643362311783</v>
      </c>
      <c r="AJ14" t="str">
        <f t="shared" si="31"/>
        <v>C00526</v>
      </c>
      <c r="AL14">
        <f t="shared" si="32"/>
        <v>5.7367497483620591</v>
      </c>
      <c r="AM14">
        <f t="shared" si="33"/>
        <v>0.54701384640964423</v>
      </c>
      <c r="AN14">
        <f t="shared" si="34"/>
        <v>1.1795718043407828</v>
      </c>
      <c r="AO14">
        <f t="shared" si="35"/>
        <v>0.51604945181842821</v>
      </c>
      <c r="AP14">
        <f t="shared" si="36"/>
        <v>2.1589248366597418</v>
      </c>
      <c r="AQ14">
        <f t="shared" si="37"/>
        <v>0.5140974164761416</v>
      </c>
      <c r="AR14">
        <f t="shared" si="38"/>
        <v>0.45458120497843646</v>
      </c>
      <c r="AS14">
        <f t="shared" si="39"/>
        <v>0.63394362052614406</v>
      </c>
      <c r="AT14">
        <f t="shared" si="40"/>
        <v>0.57225202196100733</v>
      </c>
      <c r="AU14">
        <f t="shared" si="41"/>
        <v>1.0124384068672443</v>
      </c>
      <c r="AV14">
        <f t="shared" si="42"/>
        <v>-0.62528503262788759</v>
      </c>
      <c r="AW14">
        <f t="shared" si="43"/>
        <v>-1.059542885175685</v>
      </c>
      <c r="AX14">
        <f t="shared" si="44"/>
        <v>-1.1549921157875356</v>
      </c>
      <c r="AY14">
        <f t="shared" si="45"/>
        <v>-0.69057734517450764</v>
      </c>
      <c r="AZ14">
        <f t="shared" si="46"/>
        <v>-0.91878485421177059</v>
      </c>
      <c r="BA14">
        <f t="shared" si="47"/>
        <v>-0.7675108999992496</v>
      </c>
      <c r="BB14">
        <f t="shared" si="48"/>
        <v>-0.78481644046881305</v>
      </c>
      <c r="BC14">
        <f t="shared" si="49"/>
        <v>-1.0403491901824873</v>
      </c>
      <c r="BD14" t="str">
        <f t="shared" si="50"/>
        <v>C00526</v>
      </c>
    </row>
    <row r="15" spans="1:57" x14ac:dyDescent="0.2">
      <c r="A15" t="s">
        <v>40</v>
      </c>
      <c r="B15">
        <v>14231.610350000001</v>
      </c>
      <c r="C15">
        <v>12157.920899999999</v>
      </c>
      <c r="D15">
        <v>16443.835940000001</v>
      </c>
      <c r="F15">
        <v>24711.085940000001</v>
      </c>
      <c r="G15">
        <v>19345.880860000001</v>
      </c>
      <c r="H15">
        <v>17655.54883</v>
      </c>
      <c r="I15">
        <v>17764.740229999999</v>
      </c>
      <c r="J15">
        <v>18379.5625</v>
      </c>
      <c r="K15">
        <v>15963.24512</v>
      </c>
      <c r="M15">
        <v>11579.905269999999</v>
      </c>
      <c r="N15">
        <v>41981.605470000002</v>
      </c>
      <c r="O15">
        <v>25834.667969999999</v>
      </c>
      <c r="P15">
        <v>34313.34375</v>
      </c>
      <c r="Q15">
        <v>43862.542970000002</v>
      </c>
      <c r="R15" s="2"/>
      <c r="S15" s="4" t="s">
        <v>421</v>
      </c>
      <c r="T15">
        <f t="shared" si="15"/>
        <v>4.1532540446064026</v>
      </c>
      <c r="U15">
        <f t="shared" si="16"/>
        <v>4.084859313517474</v>
      </c>
      <c r="V15">
        <f t="shared" si="17"/>
        <v>4.216003135177874</v>
      </c>
      <c r="W15" t="e">
        <f t="shared" si="18"/>
        <v>#NUM!</v>
      </c>
      <c r="X15">
        <f t="shared" si="19"/>
        <v>4.392891831091549</v>
      </c>
      <c r="Y15">
        <f t="shared" si="20"/>
        <v>4.2865885088790767</v>
      </c>
      <c r="Z15">
        <f t="shared" si="21"/>
        <v>4.2468812223316164</v>
      </c>
      <c r="AA15">
        <f t="shared" si="22"/>
        <v>4.2495588612763795</v>
      </c>
      <c r="AB15">
        <f t="shared" si="23"/>
        <v>4.264335169395185</v>
      </c>
      <c r="AC15">
        <f t="shared" si="24"/>
        <v>4.2031211824062771</v>
      </c>
      <c r="AD15" t="e">
        <f t="shared" si="25"/>
        <v>#NUM!</v>
      </c>
      <c r="AE15">
        <f t="shared" si="26"/>
        <v>4.0637050066380018</v>
      </c>
      <c r="AF15">
        <f t="shared" si="27"/>
        <v>4.6230590429512306</v>
      </c>
      <c r="AG15">
        <f t="shared" si="28"/>
        <v>4.4122028843170025</v>
      </c>
      <c r="AH15">
        <f t="shared" si="29"/>
        <v>4.5354630410353716</v>
      </c>
      <c r="AI15">
        <f t="shared" si="30"/>
        <v>4.6420938066808519</v>
      </c>
      <c r="AJ15">
        <f t="shared" si="31"/>
        <v>0</v>
      </c>
      <c r="AL15" t="e">
        <f t="shared" si="32"/>
        <v>#NUM!</v>
      </c>
      <c r="AM15" t="e">
        <f t="shared" si="33"/>
        <v>#NUM!</v>
      </c>
      <c r="AN15" t="e">
        <f t="shared" si="34"/>
        <v>#NUM!</v>
      </c>
      <c r="AO15" t="e">
        <f t="shared" si="35"/>
        <v>#NUM!</v>
      </c>
      <c r="AP15" t="e">
        <f t="shared" si="36"/>
        <v>#NUM!</v>
      </c>
      <c r="AQ15" t="e">
        <f t="shared" si="37"/>
        <v>#NUM!</v>
      </c>
      <c r="AR15" t="e">
        <f t="shared" si="38"/>
        <v>#NUM!</v>
      </c>
      <c r="AS15" t="e">
        <f t="shared" si="39"/>
        <v>#NUM!</v>
      </c>
      <c r="AT15" t="e">
        <f t="shared" si="40"/>
        <v>#NUM!</v>
      </c>
      <c r="AU15" t="e">
        <f t="shared" si="41"/>
        <v>#NUM!</v>
      </c>
      <c r="AV15" t="e">
        <f t="shared" si="42"/>
        <v>#NUM!</v>
      </c>
      <c r="AW15" t="e">
        <f t="shared" si="43"/>
        <v>#NUM!</v>
      </c>
      <c r="AX15" t="e">
        <f t="shared" si="44"/>
        <v>#NUM!</v>
      </c>
      <c r="AY15" t="e">
        <f t="shared" si="45"/>
        <v>#NUM!</v>
      </c>
      <c r="AZ15" t="e">
        <f t="shared" si="46"/>
        <v>#NUM!</v>
      </c>
      <c r="BA15" t="e">
        <f t="shared" si="47"/>
        <v>#NUM!</v>
      </c>
      <c r="BB15" t="e">
        <f t="shared" si="48"/>
        <v>#NUM!</v>
      </c>
      <c r="BC15" t="e">
        <f t="shared" si="49"/>
        <v>#NUM!</v>
      </c>
      <c r="BD15">
        <f t="shared" si="50"/>
        <v>0</v>
      </c>
    </row>
    <row r="16" spans="1:57" x14ac:dyDescent="0.2">
      <c r="A16" t="s">
        <v>41</v>
      </c>
      <c r="B16">
        <v>134129.3438</v>
      </c>
      <c r="C16">
        <v>71697.75</v>
      </c>
      <c r="D16">
        <v>122877.2188</v>
      </c>
      <c r="E16">
        <v>45068.625</v>
      </c>
      <c r="F16">
        <v>114726.10159999999</v>
      </c>
      <c r="G16">
        <v>48137.214840000001</v>
      </c>
      <c r="H16">
        <v>55640.0625</v>
      </c>
      <c r="I16">
        <v>54997.988279999998</v>
      </c>
      <c r="J16">
        <v>350321.625</v>
      </c>
      <c r="K16">
        <v>179107.98439999999</v>
      </c>
      <c r="L16">
        <v>227240.875</v>
      </c>
      <c r="M16">
        <v>159376.75</v>
      </c>
      <c r="N16">
        <v>79461</v>
      </c>
      <c r="O16">
        <v>74838.828120000006</v>
      </c>
      <c r="P16">
        <v>92972.929690000004</v>
      </c>
      <c r="Q16">
        <v>88557.265620000006</v>
      </c>
      <c r="R16" s="2" t="s">
        <v>42</v>
      </c>
      <c r="S16" s="4" t="s">
        <v>421</v>
      </c>
      <c r="T16">
        <f t="shared" si="15"/>
        <v>5.1275237998971992</v>
      </c>
      <c r="U16">
        <f t="shared" si="16"/>
        <v>4.8555055269660334</v>
      </c>
      <c r="V16">
        <f t="shared" si="17"/>
        <v>5.089471372987874</v>
      </c>
      <c r="W16">
        <f t="shared" si="18"/>
        <v>4.6538743083700274</v>
      </c>
      <c r="X16">
        <f t="shared" si="19"/>
        <v>5.0596622364822288</v>
      </c>
      <c r="Y16">
        <f t="shared" si="20"/>
        <v>4.68248095892175</v>
      </c>
      <c r="Z16">
        <f t="shared" si="21"/>
        <v>4.7453876091595104</v>
      </c>
      <c r="AA16">
        <f t="shared" si="22"/>
        <v>4.740346804132904</v>
      </c>
      <c r="AB16">
        <f t="shared" si="23"/>
        <v>5.544466946704782</v>
      </c>
      <c r="AC16">
        <f t="shared" si="24"/>
        <v>5.2531149465613156</v>
      </c>
      <c r="AD16">
        <f t="shared" si="25"/>
        <v>5.3564864528765641</v>
      </c>
      <c r="AE16">
        <f t="shared" si="26"/>
        <v>5.2024249664755722</v>
      </c>
      <c r="AF16">
        <f t="shared" si="27"/>
        <v>4.9001540262585985</v>
      </c>
      <c r="AG16">
        <f t="shared" si="28"/>
        <v>4.8741269783870038</v>
      </c>
      <c r="AH16">
        <f t="shared" si="29"/>
        <v>4.9683565163214691</v>
      </c>
      <c r="AI16">
        <f t="shared" si="30"/>
        <v>4.947224198380165</v>
      </c>
      <c r="AJ16" t="str">
        <f t="shared" si="31"/>
        <v>C00695</v>
      </c>
      <c r="AL16">
        <f t="shared" si="32"/>
        <v>5.0000379780551878</v>
      </c>
      <c r="AM16">
        <f t="shared" si="33"/>
        <v>0.25294847531937464</v>
      </c>
      <c r="AN16">
        <f t="shared" si="34"/>
        <v>0.50399917090248059</v>
      </c>
      <c r="AO16">
        <f t="shared" si="35"/>
        <v>-0.57139087676518552</v>
      </c>
      <c r="AP16">
        <f t="shared" si="36"/>
        <v>0.35356368453997172</v>
      </c>
      <c r="AQ16">
        <f t="shared" si="37"/>
        <v>-1.3685145532033414</v>
      </c>
      <c r="AR16">
        <f t="shared" si="38"/>
        <v>0.23571701055623664</v>
      </c>
      <c r="AS16">
        <f t="shared" si="39"/>
        <v>-1.2554217562785779</v>
      </c>
      <c r="AT16">
        <f t="shared" si="40"/>
        <v>-1.0067282223154495</v>
      </c>
      <c r="AU16">
        <f t="shared" si="41"/>
        <v>-1.0266564113280217</v>
      </c>
      <c r="AV16">
        <f t="shared" si="42"/>
        <v>2.1523314894948236</v>
      </c>
      <c r="AW16">
        <f t="shared" si="43"/>
        <v>1.0005079816614468</v>
      </c>
      <c r="AX16">
        <f t="shared" si="44"/>
        <v>1.4091742374462697</v>
      </c>
      <c r="AY16">
        <f t="shared" si="45"/>
        <v>0.80011151743393216</v>
      </c>
      <c r="AZ16">
        <f t="shared" si="46"/>
        <v>-0.39487864740230216</v>
      </c>
      <c r="BA16">
        <f t="shared" si="47"/>
        <v>-0.49777330940306241</v>
      </c>
      <c r="BB16">
        <f t="shared" si="48"/>
        <v>-0.12524867641015591</v>
      </c>
      <c r="BC16">
        <f t="shared" si="49"/>
        <v>-0.20879263892909294</v>
      </c>
      <c r="BD16" t="str">
        <f t="shared" si="50"/>
        <v>C00695</v>
      </c>
    </row>
    <row r="17" spans="1:56" x14ac:dyDescent="0.2">
      <c r="A17" t="s">
        <v>43</v>
      </c>
      <c r="B17">
        <v>1136268.75</v>
      </c>
      <c r="C17">
        <v>785635.4375</v>
      </c>
      <c r="D17">
        <v>884519.5625</v>
      </c>
      <c r="E17">
        <v>1207823</v>
      </c>
      <c r="F17">
        <v>2881006.5</v>
      </c>
      <c r="G17">
        <v>2003805.75</v>
      </c>
      <c r="H17">
        <v>1849055.75</v>
      </c>
      <c r="I17">
        <v>1940458.375</v>
      </c>
      <c r="J17">
        <v>4265013.5</v>
      </c>
      <c r="K17">
        <v>1111396.875</v>
      </c>
      <c r="L17">
        <v>887639.6875</v>
      </c>
      <c r="M17">
        <v>1244642.375</v>
      </c>
      <c r="N17">
        <v>1399665.125</v>
      </c>
      <c r="O17">
        <v>1624838.375</v>
      </c>
      <c r="P17">
        <v>1410016.125</v>
      </c>
      <c r="Q17">
        <v>1879447.5</v>
      </c>
      <c r="R17" s="2" t="s">
        <v>44</v>
      </c>
      <c r="S17" s="4" t="s">
        <v>421</v>
      </c>
      <c r="T17">
        <f t="shared" si="15"/>
        <v>6.0554810627465034</v>
      </c>
      <c r="U17">
        <f t="shared" si="16"/>
        <v>5.8952210648547503</v>
      </c>
      <c r="V17">
        <f t="shared" si="17"/>
        <v>5.9467074424372077</v>
      </c>
      <c r="W17">
        <f t="shared" si="18"/>
        <v>6.0820032954146868</v>
      </c>
      <c r="X17">
        <f t="shared" si="19"/>
        <v>6.459544238117604</v>
      </c>
      <c r="Y17">
        <f t="shared" si="20"/>
        <v>6.3018556184965995</v>
      </c>
      <c r="Z17">
        <f t="shared" si="21"/>
        <v>6.2669500055628298</v>
      </c>
      <c r="AA17">
        <f t="shared" si="22"/>
        <v>6.2879043310741274</v>
      </c>
      <c r="AB17">
        <f t="shared" si="23"/>
        <v>6.6299204101732316</v>
      </c>
      <c r="AC17">
        <f t="shared" si="24"/>
        <v>6.0458691713119084</v>
      </c>
      <c r="AD17">
        <f t="shared" si="25"/>
        <v>5.9482367118530322</v>
      </c>
      <c r="AE17">
        <f t="shared" si="26"/>
        <v>6.0950445828571853</v>
      </c>
      <c r="AF17">
        <f t="shared" si="27"/>
        <v>6.1460241415631724</v>
      </c>
      <c r="AG17">
        <f t="shared" si="28"/>
        <v>6.2108101675692851</v>
      </c>
      <c r="AH17">
        <f t="shared" si="29"/>
        <v>6.1492240792925976</v>
      </c>
      <c r="AI17">
        <f t="shared" si="30"/>
        <v>6.2740301987496192</v>
      </c>
      <c r="AJ17" t="str">
        <f t="shared" si="31"/>
        <v>C08261</v>
      </c>
      <c r="AL17">
        <f t="shared" si="32"/>
        <v>6.1746766576296466</v>
      </c>
      <c r="AM17">
        <f t="shared" si="33"/>
        <v>0.19418553890837273</v>
      </c>
      <c r="AN17">
        <f t="shared" si="34"/>
        <v>-0.61382323088119384</v>
      </c>
      <c r="AO17">
        <f t="shared" si="35"/>
        <v>-1.4391163953087083</v>
      </c>
      <c r="AP17">
        <f t="shared" si="36"/>
        <v>-1.1739762727646115</v>
      </c>
      <c r="AQ17">
        <f t="shared" si="37"/>
        <v>-0.47724131640249551</v>
      </c>
      <c r="AR17">
        <f t="shared" si="38"/>
        <v>1.4669865845281786</v>
      </c>
      <c r="AS17">
        <f t="shared" si="39"/>
        <v>0.65493528293557868</v>
      </c>
      <c r="AT17">
        <f t="shared" si="40"/>
        <v>0.47518135723135785</v>
      </c>
      <c r="AU17">
        <f t="shared" si="41"/>
        <v>0.58309014193846731</v>
      </c>
      <c r="AV17">
        <f t="shared" si="42"/>
        <v>2.3443751532826229</v>
      </c>
      <c r="AW17">
        <f t="shared" si="43"/>
        <v>-0.66332172334684791</v>
      </c>
      <c r="AX17">
        <f t="shared" si="44"/>
        <v>-1.1661009725521376</v>
      </c>
      <c r="AY17">
        <f t="shared" si="45"/>
        <v>-0.41008241509701704</v>
      </c>
      <c r="AZ17">
        <f t="shared" si="46"/>
        <v>-0.1475522648470437</v>
      </c>
      <c r="BA17">
        <f t="shared" si="47"/>
        <v>0.18607724417979568</v>
      </c>
      <c r="BB17">
        <f t="shared" si="48"/>
        <v>-0.1310735005301237</v>
      </c>
      <c r="BC17">
        <f t="shared" si="49"/>
        <v>0.51164232763415518</v>
      </c>
      <c r="BD17" t="str">
        <f t="shared" si="50"/>
        <v>C08261</v>
      </c>
    </row>
    <row r="18" spans="1:56" x14ac:dyDescent="0.2">
      <c r="A18" t="s">
        <v>45</v>
      </c>
      <c r="B18">
        <v>9471570</v>
      </c>
      <c r="C18">
        <v>23474772</v>
      </c>
      <c r="D18">
        <v>16852002</v>
      </c>
      <c r="E18">
        <v>31534460</v>
      </c>
      <c r="F18">
        <v>3918305.5</v>
      </c>
      <c r="G18">
        <v>13471427</v>
      </c>
      <c r="H18">
        <v>24639100</v>
      </c>
      <c r="I18">
        <v>26278662</v>
      </c>
      <c r="J18">
        <v>32982054</v>
      </c>
      <c r="K18">
        <v>41713684</v>
      </c>
      <c r="L18">
        <v>37776572</v>
      </c>
      <c r="M18">
        <v>51865656</v>
      </c>
      <c r="N18">
        <v>23200476</v>
      </c>
      <c r="O18">
        <v>29809948</v>
      </c>
      <c r="P18">
        <v>35873428</v>
      </c>
      <c r="Q18">
        <v>13527639</v>
      </c>
      <c r="R18" s="2" t="s">
        <v>46</v>
      </c>
      <c r="S18" s="4" t="s">
        <v>421</v>
      </c>
      <c r="T18">
        <f t="shared" si="15"/>
        <v>6.9764219732823269</v>
      </c>
      <c r="U18">
        <f t="shared" si="16"/>
        <v>7.3706013828498529</v>
      </c>
      <c r="V18">
        <f t="shared" si="17"/>
        <v>7.2266515019969955</v>
      </c>
      <c r="W18">
        <f t="shared" si="18"/>
        <v>7.4987853984804982</v>
      </c>
      <c r="X18">
        <f t="shared" si="19"/>
        <v>6.5930982937801694</v>
      </c>
      <c r="Y18">
        <f t="shared" si="20"/>
        <v>7.129413602063055</v>
      </c>
      <c r="Z18">
        <f t="shared" si="21"/>
        <v>7.3916248401737086</v>
      </c>
      <c r="AA18">
        <f t="shared" si="22"/>
        <v>7.4196032489847834</v>
      </c>
      <c r="AB18">
        <f t="shared" si="23"/>
        <v>7.5182776984003361</v>
      </c>
      <c r="AC18">
        <f t="shared" si="24"/>
        <v>7.6202785468398089</v>
      </c>
      <c r="AD18">
        <f t="shared" si="25"/>
        <v>7.5772225457237168</v>
      </c>
      <c r="AE18">
        <f t="shared" si="26"/>
        <v>7.7148798752495695</v>
      </c>
      <c r="AF18">
        <f t="shared" si="27"/>
        <v>7.3654968953242062</v>
      </c>
      <c r="AG18">
        <f t="shared" si="28"/>
        <v>7.4743612184568926</v>
      </c>
      <c r="AH18">
        <f t="shared" si="29"/>
        <v>7.5547728790553927</v>
      </c>
      <c r="AI18">
        <f t="shared" si="30"/>
        <v>7.13122200511601</v>
      </c>
      <c r="AJ18" t="str">
        <f t="shared" si="31"/>
        <v>C00805</v>
      </c>
      <c r="AL18">
        <f t="shared" si="32"/>
        <v>7.3476694941110825</v>
      </c>
      <c r="AM18">
        <f t="shared" si="33"/>
        <v>0.28249161543332701</v>
      </c>
      <c r="AN18">
        <f t="shared" si="34"/>
        <v>-1.3141895211979362</v>
      </c>
      <c r="AO18">
        <f t="shared" si="35"/>
        <v>8.1177236724686852E-2</v>
      </c>
      <c r="AP18">
        <f t="shared" si="36"/>
        <v>-0.42839498768291551</v>
      </c>
      <c r="AQ18">
        <f t="shared" si="37"/>
        <v>0.53493943222920792</v>
      </c>
      <c r="AR18">
        <f t="shared" si="38"/>
        <v>-2.6711277755038543</v>
      </c>
      <c r="AS18">
        <f t="shared" si="39"/>
        <v>-0.77261015946697986</v>
      </c>
      <c r="AT18">
        <f t="shared" si="40"/>
        <v>0.15559876350737323</v>
      </c>
      <c r="AU18">
        <f t="shared" si="41"/>
        <v>0.25464031830947753</v>
      </c>
      <c r="AV18">
        <f t="shared" si="42"/>
        <v>0.60394077193246876</v>
      </c>
      <c r="AW18">
        <f t="shared" si="43"/>
        <v>0.9650164388438881</v>
      </c>
      <c r="AX18">
        <f t="shared" si="44"/>
        <v>0.81260129176050833</v>
      </c>
      <c r="AY18">
        <f t="shared" si="45"/>
        <v>1.299898337071725</v>
      </c>
      <c r="AZ18">
        <f t="shared" si="46"/>
        <v>6.3107718031833876E-2</v>
      </c>
      <c r="BA18">
        <f t="shared" si="47"/>
        <v>0.44847959169149776</v>
      </c>
      <c r="BB18">
        <f t="shared" si="48"/>
        <v>0.73313108648065439</v>
      </c>
      <c r="BC18">
        <f t="shared" si="49"/>
        <v>-0.76620854273162631</v>
      </c>
      <c r="BD18" t="str">
        <f t="shared" si="50"/>
        <v>C00805</v>
      </c>
    </row>
    <row r="19" spans="1:56" x14ac:dyDescent="0.2">
      <c r="A19" t="s">
        <v>47</v>
      </c>
      <c r="B19">
        <v>677017.0625</v>
      </c>
      <c r="C19">
        <v>672848.1875</v>
      </c>
      <c r="D19">
        <v>636545.375</v>
      </c>
      <c r="E19">
        <v>572439.375</v>
      </c>
      <c r="F19">
        <v>650275.625</v>
      </c>
      <c r="G19">
        <v>535289.375</v>
      </c>
      <c r="H19">
        <v>452702.28120000003</v>
      </c>
      <c r="I19">
        <v>510087.9375</v>
      </c>
      <c r="J19">
        <v>754696.8125</v>
      </c>
      <c r="K19">
        <v>698754.6875</v>
      </c>
      <c r="L19">
        <v>631708.25</v>
      </c>
      <c r="M19">
        <v>774105.875</v>
      </c>
      <c r="N19">
        <v>550924.5</v>
      </c>
      <c r="O19">
        <v>520524.6875</v>
      </c>
      <c r="P19">
        <v>571085.4375</v>
      </c>
      <c r="Q19">
        <v>638240.625</v>
      </c>
      <c r="R19" s="2" t="s">
        <v>352</v>
      </c>
      <c r="S19" s="4" t="s">
        <v>421</v>
      </c>
      <c r="T19">
        <f t="shared" si="15"/>
        <v>5.8305996141153065</v>
      </c>
      <c r="U19">
        <f t="shared" si="16"/>
        <v>5.827917086856357</v>
      </c>
      <c r="V19">
        <f t="shared" si="17"/>
        <v>5.8038293669994809</v>
      </c>
      <c r="W19">
        <f t="shared" si="18"/>
        <v>5.7577294988772065</v>
      </c>
      <c r="X19">
        <f t="shared" si="19"/>
        <v>5.8130974751729054</v>
      </c>
      <c r="Y19">
        <f t="shared" si="20"/>
        <v>5.7285886231243888</v>
      </c>
      <c r="Z19">
        <f t="shared" si="21"/>
        <v>5.655812682942515</v>
      </c>
      <c r="AA19">
        <f t="shared" si="22"/>
        <v>5.7076450535074086</v>
      </c>
      <c r="AB19">
        <f t="shared" si="23"/>
        <v>5.8777725157306531</v>
      </c>
      <c r="AC19">
        <f t="shared" si="24"/>
        <v>5.8443247343092279</v>
      </c>
      <c r="AD19">
        <f t="shared" si="25"/>
        <v>5.8005165487418893</v>
      </c>
      <c r="AE19">
        <f t="shared" si="26"/>
        <v>5.8888003635042185</v>
      </c>
      <c r="AF19">
        <f t="shared" si="27"/>
        <v>5.7410920861838388</v>
      </c>
      <c r="AG19">
        <f t="shared" si="28"/>
        <v>5.7164413320997047</v>
      </c>
      <c r="AH19">
        <f t="shared" si="29"/>
        <v>5.7567010859325407</v>
      </c>
      <c r="AI19">
        <f t="shared" si="30"/>
        <v>5.8049844442507954</v>
      </c>
      <c r="AJ19" t="str">
        <f t="shared" si="31"/>
        <v>C02226</v>
      </c>
      <c r="AL19">
        <f t="shared" si="32"/>
        <v>5.7847407820217773</v>
      </c>
      <c r="AM19">
        <f t="shared" si="33"/>
        <v>6.4618396989601867E-2</v>
      </c>
      <c r="AN19">
        <f t="shared" si="34"/>
        <v>0.70968693483542411</v>
      </c>
      <c r="AO19">
        <f t="shared" si="35"/>
        <v>0.66817356737474376</v>
      </c>
      <c r="AP19">
        <f t="shared" si="36"/>
        <v>0.29540480524107188</v>
      </c>
      <c r="AQ19">
        <f t="shared" si="37"/>
        <v>-0.41801227518716294</v>
      </c>
      <c r="AR19">
        <f t="shared" si="38"/>
        <v>0.43883312604754254</v>
      </c>
      <c r="AS19">
        <f t="shared" si="39"/>
        <v>-0.8689809947842615</v>
      </c>
      <c r="AT19">
        <f t="shared" si="40"/>
        <v>-1.9952228016428335</v>
      </c>
      <c r="AU19">
        <f t="shared" si="41"/>
        <v>-1.1930925573219446</v>
      </c>
      <c r="AV19">
        <f t="shared" si="42"/>
        <v>1.4397097118309208</v>
      </c>
      <c r="AW19">
        <f t="shared" si="43"/>
        <v>0.92208960703619158</v>
      </c>
      <c r="AX19">
        <f t="shared" si="44"/>
        <v>0.24413738896448503</v>
      </c>
      <c r="AY19">
        <f t="shared" si="45"/>
        <v>1.6103708282826339</v>
      </c>
      <c r="AZ19">
        <f t="shared" si="46"/>
        <v>-0.67548403970717941</v>
      </c>
      <c r="BA19">
        <f t="shared" si="47"/>
        <v>-1.0569660205755811</v>
      </c>
      <c r="BB19">
        <f t="shared" si="48"/>
        <v>-0.43392744784041387</v>
      </c>
      <c r="BC19">
        <f t="shared" si="49"/>
        <v>0.31328016744636372</v>
      </c>
      <c r="BD19" t="str">
        <f t="shared" si="50"/>
        <v>C02226</v>
      </c>
    </row>
    <row r="20" spans="1:56" x14ac:dyDescent="0.2">
      <c r="A20" t="s">
        <v>48</v>
      </c>
      <c r="B20">
        <v>98334.804690000004</v>
      </c>
      <c r="C20">
        <v>40259.742189999997</v>
      </c>
      <c r="D20">
        <v>440906.46879999997</v>
      </c>
      <c r="E20">
        <v>102701.9844</v>
      </c>
      <c r="F20">
        <v>134546.95310000001</v>
      </c>
      <c r="G20">
        <v>183000.45310000001</v>
      </c>
      <c r="H20">
        <v>185203.7812</v>
      </c>
      <c r="I20">
        <v>338054.90620000003</v>
      </c>
      <c r="J20">
        <v>10491.35059</v>
      </c>
      <c r="M20">
        <v>10424.752930000001</v>
      </c>
      <c r="N20">
        <v>11297.378909999999</v>
      </c>
      <c r="O20">
        <v>23774.693360000001</v>
      </c>
      <c r="P20">
        <v>22165.207030000001</v>
      </c>
      <c r="Q20">
        <v>9067.6103519999997</v>
      </c>
      <c r="R20" s="2" t="s">
        <v>353</v>
      </c>
      <c r="S20" s="4" t="s">
        <v>421</v>
      </c>
      <c r="T20">
        <f t="shared" si="15"/>
        <v>4.9927072595361341</v>
      </c>
      <c r="U20">
        <f t="shared" si="16"/>
        <v>4.6048709894841089</v>
      </c>
      <c r="V20">
        <f t="shared" si="17"/>
        <v>5.6443464706646882</v>
      </c>
      <c r="W20">
        <f t="shared" si="18"/>
        <v>5.0115788350835864</v>
      </c>
      <c r="X20">
        <f t="shared" si="19"/>
        <v>5.1288738673406522</v>
      </c>
      <c r="Y20">
        <f t="shared" si="20"/>
        <v>5.2624521650232499</v>
      </c>
      <c r="Z20">
        <f t="shared" si="21"/>
        <v>5.2676498491792385</v>
      </c>
      <c r="AA20">
        <f t="shared" si="22"/>
        <v>5.5289872432454406</v>
      </c>
      <c r="AB20">
        <f t="shared" si="23"/>
        <v>4.0208314001123453</v>
      </c>
      <c r="AC20" t="e">
        <f t="shared" si="24"/>
        <v>#NUM!</v>
      </c>
      <c r="AD20" t="e">
        <f t="shared" si="25"/>
        <v>#NUM!</v>
      </c>
      <c r="AE20">
        <f t="shared" si="26"/>
        <v>4.0180657708487528</v>
      </c>
      <c r="AF20">
        <f t="shared" si="27"/>
        <v>4.0529776950795267</v>
      </c>
      <c r="AG20">
        <f t="shared" si="28"/>
        <v>4.3761149242248569</v>
      </c>
      <c r="AH20">
        <f t="shared" si="29"/>
        <v>4.3456717921012542</v>
      </c>
      <c r="AI20">
        <f t="shared" si="30"/>
        <v>3.9574928496093005</v>
      </c>
      <c r="AJ20" t="str">
        <f t="shared" si="31"/>
        <v>C00559</v>
      </c>
      <c r="AL20" t="e">
        <f t="shared" si="32"/>
        <v>#NUM!</v>
      </c>
      <c r="AM20" t="e">
        <f t="shared" si="33"/>
        <v>#NUM!</v>
      </c>
      <c r="AN20" t="e">
        <f t="shared" si="34"/>
        <v>#NUM!</v>
      </c>
      <c r="AO20" t="e">
        <f t="shared" si="35"/>
        <v>#NUM!</v>
      </c>
      <c r="AP20" t="e">
        <f t="shared" si="36"/>
        <v>#NUM!</v>
      </c>
      <c r="AQ20" t="e">
        <f t="shared" si="37"/>
        <v>#NUM!</v>
      </c>
      <c r="AR20" t="e">
        <f t="shared" si="38"/>
        <v>#NUM!</v>
      </c>
      <c r="AS20" t="e">
        <f t="shared" si="39"/>
        <v>#NUM!</v>
      </c>
      <c r="AT20" t="e">
        <f t="shared" si="40"/>
        <v>#NUM!</v>
      </c>
      <c r="AU20" t="e">
        <f t="shared" si="41"/>
        <v>#NUM!</v>
      </c>
      <c r="AV20" t="e">
        <f t="shared" si="42"/>
        <v>#NUM!</v>
      </c>
      <c r="AW20" t="e">
        <f t="shared" si="43"/>
        <v>#NUM!</v>
      </c>
      <c r="AX20" t="e">
        <f t="shared" si="44"/>
        <v>#NUM!</v>
      </c>
      <c r="AY20" t="e">
        <f t="shared" si="45"/>
        <v>#NUM!</v>
      </c>
      <c r="AZ20" t="e">
        <f t="shared" si="46"/>
        <v>#NUM!</v>
      </c>
      <c r="BA20" t="e">
        <f t="shared" si="47"/>
        <v>#NUM!</v>
      </c>
      <c r="BB20" t="e">
        <f t="shared" si="48"/>
        <v>#NUM!</v>
      </c>
      <c r="BC20" t="e">
        <f t="shared" si="49"/>
        <v>#NUM!</v>
      </c>
      <c r="BD20" t="str">
        <f t="shared" si="50"/>
        <v>C00559</v>
      </c>
    </row>
    <row r="21" spans="1:56" x14ac:dyDescent="0.2">
      <c r="A21" t="s">
        <v>49</v>
      </c>
      <c r="B21">
        <v>664029.6875</v>
      </c>
      <c r="C21">
        <v>545536.3125</v>
      </c>
      <c r="D21">
        <v>609421.125</v>
      </c>
      <c r="E21">
        <v>478981.5</v>
      </c>
      <c r="F21">
        <v>622998.25</v>
      </c>
      <c r="G21">
        <v>503932.5</v>
      </c>
      <c r="H21">
        <v>477823.96879999997</v>
      </c>
      <c r="I21">
        <v>449754.46879999997</v>
      </c>
      <c r="J21">
        <v>553395.75</v>
      </c>
      <c r="K21">
        <v>568824.5</v>
      </c>
      <c r="L21">
        <v>519983.46879999997</v>
      </c>
      <c r="M21">
        <v>591996.3125</v>
      </c>
      <c r="N21">
        <v>519005.21879999997</v>
      </c>
      <c r="O21">
        <v>500711.09379999997</v>
      </c>
      <c r="P21">
        <v>490056.15620000003</v>
      </c>
      <c r="Q21">
        <v>616383.875</v>
      </c>
      <c r="R21" s="2" t="s">
        <v>354</v>
      </c>
      <c r="S21" s="4" t="s">
        <v>421</v>
      </c>
      <c r="T21">
        <f t="shared" si="15"/>
        <v>5.8221874962794837</v>
      </c>
      <c r="U21">
        <f t="shared" si="16"/>
        <v>5.736823663803376</v>
      </c>
      <c r="V21">
        <f t="shared" si="17"/>
        <v>5.7849175045501209</v>
      </c>
      <c r="W21">
        <f t="shared" si="18"/>
        <v>5.6803187397129493</v>
      </c>
      <c r="X21">
        <f t="shared" si="19"/>
        <v>5.7944868267291358</v>
      </c>
      <c r="Y21">
        <f t="shared" si="20"/>
        <v>5.702372368110697</v>
      </c>
      <c r="Z21">
        <f t="shared" si="21"/>
        <v>5.6792679312164758</v>
      </c>
      <c r="AA21">
        <f t="shared" si="22"/>
        <v>5.652975487227236</v>
      </c>
      <c r="AB21">
        <f t="shared" si="23"/>
        <v>5.7430358194983997</v>
      </c>
      <c r="AC21">
        <f t="shared" si="24"/>
        <v>5.7549782937443181</v>
      </c>
      <c r="AD21">
        <f t="shared" si="25"/>
        <v>5.7159895368596816</v>
      </c>
      <c r="AE21">
        <f t="shared" si="26"/>
        <v>5.7723190015440524</v>
      </c>
      <c r="AF21">
        <f t="shared" si="27"/>
        <v>5.7151717248708991</v>
      </c>
      <c r="AG21">
        <f t="shared" si="28"/>
        <v>5.6995872137730839</v>
      </c>
      <c r="AH21">
        <f t="shared" si="29"/>
        <v>5.6902458492741985</v>
      </c>
      <c r="AI21">
        <f t="shared" si="30"/>
        <v>5.7898512687710388</v>
      </c>
      <c r="AJ21" t="str">
        <f t="shared" si="31"/>
        <v>C01384</v>
      </c>
      <c r="AL21">
        <f t="shared" si="32"/>
        <v>5.7334080453728218</v>
      </c>
      <c r="AM21">
        <f t="shared" si="33"/>
        <v>4.9234267573252839E-2</v>
      </c>
      <c r="AN21">
        <f t="shared" si="34"/>
        <v>1.8032044606852757</v>
      </c>
      <c r="AO21">
        <f t="shared" si="35"/>
        <v>6.9374819590285686E-2</v>
      </c>
      <c r="AP21">
        <f t="shared" si="36"/>
        <v>1.0462115456609795</v>
      </c>
      <c r="AQ21">
        <f t="shared" si="37"/>
        <v>-1.0782998971373736</v>
      </c>
      <c r="AR21">
        <f t="shared" si="38"/>
        <v>1.2405745909683423</v>
      </c>
      <c r="AS21">
        <f t="shared" si="39"/>
        <v>-0.6303674004279346</v>
      </c>
      <c r="AT21">
        <f t="shared" si="40"/>
        <v>-1.0996429280844697</v>
      </c>
      <c r="AU21">
        <f t="shared" si="41"/>
        <v>-1.6336702485908787</v>
      </c>
      <c r="AV21">
        <f t="shared" si="42"/>
        <v>0.19555026610791565</v>
      </c>
      <c r="AW21">
        <f t="shared" si="43"/>
        <v>0.43811453759118513</v>
      </c>
      <c r="AX21">
        <f t="shared" si="44"/>
        <v>-0.35378831394666727</v>
      </c>
      <c r="AY21">
        <f t="shared" si="45"/>
        <v>0.79032263683698067</v>
      </c>
      <c r="AZ21">
        <f t="shared" si="46"/>
        <v>-0.3703989396163947</v>
      </c>
      <c r="BA21">
        <f t="shared" si="47"/>
        <v>-0.68693682808255141</v>
      </c>
      <c r="BB21">
        <f t="shared" si="48"/>
        <v>-0.87666981202482008</v>
      </c>
      <c r="BC21">
        <f t="shared" si="49"/>
        <v>1.1464215104700892</v>
      </c>
      <c r="BD21" t="str">
        <f t="shared" si="50"/>
        <v>C01384</v>
      </c>
    </row>
    <row r="22" spans="1:56" x14ac:dyDescent="0.2">
      <c r="A22" t="s">
        <v>50</v>
      </c>
      <c r="B22">
        <v>1359481.125</v>
      </c>
      <c r="C22">
        <v>1314814.5</v>
      </c>
      <c r="D22">
        <v>1676148.25</v>
      </c>
      <c r="E22">
        <v>1222108.375</v>
      </c>
      <c r="F22">
        <v>1145893.375</v>
      </c>
      <c r="G22">
        <v>896823.1875</v>
      </c>
      <c r="H22">
        <v>798043.8125</v>
      </c>
      <c r="I22">
        <v>1041797.75</v>
      </c>
      <c r="J22">
        <v>13534182</v>
      </c>
      <c r="K22">
        <v>7269326</v>
      </c>
      <c r="L22">
        <v>7845327</v>
      </c>
      <c r="M22">
        <v>11760439</v>
      </c>
      <c r="N22">
        <v>690767.5</v>
      </c>
      <c r="O22">
        <v>962288.5625</v>
      </c>
      <c r="P22">
        <v>1014789.75</v>
      </c>
      <c r="Q22">
        <v>730588.8125</v>
      </c>
      <c r="R22" s="2" t="s">
        <v>268</v>
      </c>
      <c r="S22" s="4" t="s">
        <v>421</v>
      </c>
      <c r="T22">
        <f t="shared" si="15"/>
        <v>6.1333731822322708</v>
      </c>
      <c r="U22">
        <f t="shared" si="16"/>
        <v>6.1188644849100919</v>
      </c>
      <c r="V22">
        <f t="shared" si="17"/>
        <v>6.2243124279634525</v>
      </c>
      <c r="W22">
        <f t="shared" si="18"/>
        <v>6.0871097202907487</v>
      </c>
      <c r="X22">
        <f t="shared" si="19"/>
        <v>6.0591442085532954</v>
      </c>
      <c r="Y22">
        <f t="shared" si="20"/>
        <v>5.9527068284820048</v>
      </c>
      <c r="Z22">
        <f t="shared" si="21"/>
        <v>5.9020267347149833</v>
      </c>
      <c r="AA22">
        <f t="shared" si="22"/>
        <v>6.0177834151396432</v>
      </c>
      <c r="AB22">
        <f t="shared" si="23"/>
        <v>7.1314320123324846</v>
      </c>
      <c r="AC22">
        <f t="shared" si="24"/>
        <v>6.8614941456526575</v>
      </c>
      <c r="AD22">
        <f t="shared" si="25"/>
        <v>6.894611050069023</v>
      </c>
      <c r="AE22">
        <f t="shared" si="26"/>
        <v>7.0704235336209926</v>
      </c>
      <c r="AF22">
        <f t="shared" si="27"/>
        <v>5.8393318962047793</v>
      </c>
      <c r="AG22">
        <f t="shared" si="28"/>
        <v>5.9833053239187581</v>
      </c>
      <c r="AH22">
        <f t="shared" si="29"/>
        <v>6.0063760719307329</v>
      </c>
      <c r="AI22">
        <f t="shared" si="30"/>
        <v>5.86367301757927</v>
      </c>
      <c r="AJ22" t="str">
        <f t="shared" si="31"/>
        <v>C00147</v>
      </c>
      <c r="AL22">
        <f t="shared" si="32"/>
        <v>6.259123003349699</v>
      </c>
      <c r="AM22">
        <f t="shared" si="33"/>
        <v>0.45050490373935431</v>
      </c>
      <c r="AN22">
        <f t="shared" si="34"/>
        <v>-0.27913085978345403</v>
      </c>
      <c r="AO22">
        <f t="shared" si="35"/>
        <v>-0.31133627464520447</v>
      </c>
      <c r="AP22">
        <f t="shared" si="36"/>
        <v>-7.7270136456464772E-2</v>
      </c>
      <c r="AQ22">
        <f t="shared" si="37"/>
        <v>-0.38182333118058764</v>
      </c>
      <c r="AR22">
        <f t="shared" si="38"/>
        <v>-0.44389926310791944</v>
      </c>
      <c r="AS22">
        <f t="shared" si="39"/>
        <v>-0.68016168597573212</v>
      </c>
      <c r="AT22">
        <f t="shared" si="40"/>
        <v>-0.79265789488790672</v>
      </c>
      <c r="AU22">
        <f t="shared" si="41"/>
        <v>-0.53570912593148157</v>
      </c>
      <c r="AV22">
        <f t="shared" si="42"/>
        <v>1.936291928772149</v>
      </c>
      <c r="AW22">
        <f t="shared" si="43"/>
        <v>1.337102298561146</v>
      </c>
      <c r="AX22">
        <f t="shared" si="44"/>
        <v>1.4106129399359306</v>
      </c>
      <c r="AY22">
        <f t="shared" si="45"/>
        <v>1.8008694767519835</v>
      </c>
      <c r="AZ22">
        <f t="shared" si="46"/>
        <v>-0.93182361315160167</v>
      </c>
      <c r="BA22">
        <f t="shared" si="47"/>
        <v>-0.61224123675803288</v>
      </c>
      <c r="BB22">
        <f t="shared" si="48"/>
        <v>-0.56103036686410024</v>
      </c>
      <c r="BC22">
        <f t="shared" si="49"/>
        <v>-0.87779285527871176</v>
      </c>
      <c r="BD22" t="str">
        <f t="shared" si="50"/>
        <v>C00147</v>
      </c>
    </row>
    <row r="23" spans="1:56" x14ac:dyDescent="0.2">
      <c r="A23" t="s">
        <v>51</v>
      </c>
      <c r="B23">
        <v>117596680</v>
      </c>
      <c r="C23">
        <v>93193840</v>
      </c>
      <c r="D23">
        <v>110247384</v>
      </c>
      <c r="E23">
        <v>84149648</v>
      </c>
      <c r="F23">
        <v>106204568</v>
      </c>
      <c r="G23">
        <v>75369648</v>
      </c>
      <c r="H23">
        <v>68415424</v>
      </c>
      <c r="I23">
        <v>80802136</v>
      </c>
      <c r="J23">
        <v>74766240</v>
      </c>
      <c r="K23">
        <v>79723288</v>
      </c>
      <c r="L23">
        <v>62823740</v>
      </c>
      <c r="M23">
        <v>90922872</v>
      </c>
      <c r="N23">
        <v>52673520</v>
      </c>
      <c r="O23">
        <v>65781960</v>
      </c>
      <c r="P23">
        <v>58386548</v>
      </c>
      <c r="Q23">
        <v>56503724</v>
      </c>
      <c r="R23" s="2" t="s">
        <v>355</v>
      </c>
      <c r="S23" s="4" t="s">
        <v>421</v>
      </c>
      <c r="T23">
        <f t="shared" si="15"/>
        <v>8.0703950608724924</v>
      </c>
      <c r="U23">
        <f t="shared" si="16"/>
        <v>7.9693872069631864</v>
      </c>
      <c r="V23">
        <f t="shared" si="17"/>
        <v>8.0423682931254206</v>
      </c>
      <c r="W23">
        <f t="shared" si="18"/>
        <v>7.9250523036513867</v>
      </c>
      <c r="X23">
        <f t="shared" si="19"/>
        <v>8.0261431967315939</v>
      </c>
      <c r="Y23">
        <f t="shared" si="20"/>
        <v>7.8771964869844791</v>
      </c>
      <c r="Z23">
        <f t="shared" si="21"/>
        <v>7.8351540228158729</v>
      </c>
      <c r="AA23">
        <f t="shared" si="22"/>
        <v>7.9074228414769623</v>
      </c>
      <c r="AB23">
        <f t="shared" si="23"/>
        <v>7.8737055404927165</v>
      </c>
      <c r="AC23">
        <f t="shared" si="24"/>
        <v>7.9015852018549637</v>
      </c>
      <c r="AD23">
        <f t="shared" si="25"/>
        <v>7.7981237870929521</v>
      </c>
      <c r="AE23">
        <f t="shared" si="26"/>
        <v>7.9586731454213071</v>
      </c>
      <c r="AF23">
        <f t="shared" si="27"/>
        <v>7.7215923418147732</v>
      </c>
      <c r="AG23">
        <f t="shared" si="28"/>
        <v>7.8181068093184694</v>
      </c>
      <c r="AH23">
        <f t="shared" si="29"/>
        <v>7.7663127991274825</v>
      </c>
      <c r="AI23">
        <f t="shared" si="30"/>
        <v>7.7520770718787873</v>
      </c>
      <c r="AJ23" t="str">
        <f t="shared" si="31"/>
        <v>C00385</v>
      </c>
      <c r="AL23">
        <f t="shared" si="32"/>
        <v>7.8902060068514261</v>
      </c>
      <c r="AM23">
        <f t="shared" si="33"/>
        <v>0.10542210982293222</v>
      </c>
      <c r="AN23">
        <f t="shared" si="34"/>
        <v>1.7092150244736435</v>
      </c>
      <c r="AO23">
        <f t="shared" si="35"/>
        <v>0.75108722681374496</v>
      </c>
      <c r="AP23">
        <f t="shared" si="36"/>
        <v>1.4433621801875085</v>
      </c>
      <c r="AQ23">
        <f t="shared" si="37"/>
        <v>0.330540688841161</v>
      </c>
      <c r="AR23">
        <f t="shared" si="38"/>
        <v>1.2894561691896409</v>
      </c>
      <c r="AS23">
        <f t="shared" si="39"/>
        <v>-0.12340409320965007</v>
      </c>
      <c r="AT23">
        <f t="shared" si="40"/>
        <v>-0.52220529572040397</v>
      </c>
      <c r="AU23">
        <f t="shared" si="41"/>
        <v>0.16331331875688757</v>
      </c>
      <c r="AV23">
        <f t="shared" si="42"/>
        <v>-0.15651808132491293</v>
      </c>
      <c r="AW23">
        <f t="shared" si="43"/>
        <v>0.10793935942517324</v>
      </c>
      <c r="AX23">
        <f t="shared" si="44"/>
        <v>-0.87346212206467955</v>
      </c>
      <c r="AY23">
        <f t="shared" si="45"/>
        <v>0.64945710804762768</v>
      </c>
      <c r="AZ23">
        <f t="shared" si="46"/>
        <v>-1.5994146324699607</v>
      </c>
      <c r="BA23">
        <f t="shared" si="47"/>
        <v>-0.68390964337609217</v>
      </c>
      <c r="BB23">
        <f t="shared" si="48"/>
        <v>-1.1752108540801887</v>
      </c>
      <c r="BC23">
        <f t="shared" si="49"/>
        <v>-1.3102463534892377</v>
      </c>
      <c r="BD23" t="str">
        <f t="shared" si="50"/>
        <v>C00385</v>
      </c>
    </row>
    <row r="24" spans="1:56" x14ac:dyDescent="0.2">
      <c r="A24" t="s">
        <v>53</v>
      </c>
      <c r="B24">
        <v>121249.9844</v>
      </c>
      <c r="C24">
        <v>76544.835940000004</v>
      </c>
      <c r="D24">
        <v>95605.75</v>
      </c>
      <c r="E24">
        <v>80901.28125</v>
      </c>
      <c r="F24">
        <v>218422.7188</v>
      </c>
      <c r="G24">
        <v>98106.5</v>
      </c>
      <c r="H24">
        <v>99313.773440000004</v>
      </c>
      <c r="I24">
        <v>102692.64840000001</v>
      </c>
      <c r="J24">
        <v>133798.07810000001</v>
      </c>
      <c r="K24">
        <v>109419.96090000001</v>
      </c>
      <c r="L24">
        <v>106145.89840000001</v>
      </c>
      <c r="M24">
        <v>106321.28909999999</v>
      </c>
      <c r="N24">
        <v>97820.335940000004</v>
      </c>
      <c r="O24">
        <v>128174.1406</v>
      </c>
      <c r="P24">
        <v>99134.726559999996</v>
      </c>
      <c r="Q24">
        <v>113852.8438</v>
      </c>
      <c r="R24" s="2" t="s">
        <v>54</v>
      </c>
      <c r="S24" s="4" t="s">
        <v>421</v>
      </c>
      <c r="T24">
        <f t="shared" si="15"/>
        <v>5.0836816913980591</v>
      </c>
      <c r="U24">
        <f t="shared" si="16"/>
        <v>4.8839158965573022</v>
      </c>
      <c r="V24">
        <f t="shared" si="17"/>
        <v>4.9804840127591055</v>
      </c>
      <c r="W24">
        <f t="shared" si="18"/>
        <v>4.907955399676533</v>
      </c>
      <c r="X24">
        <f t="shared" si="19"/>
        <v>5.3392978086495848</v>
      </c>
      <c r="Y24">
        <f t="shared" si="20"/>
        <v>4.9916977823097639</v>
      </c>
      <c r="Z24">
        <f t="shared" si="21"/>
        <v>4.9970094832806611</v>
      </c>
      <c r="AA24">
        <f t="shared" si="22"/>
        <v>5.0115393542731042</v>
      </c>
      <c r="AB24">
        <f t="shared" si="23"/>
        <v>5.12644987519145</v>
      </c>
      <c r="AC24">
        <f t="shared" si="24"/>
        <v>5.0390965552511995</v>
      </c>
      <c r="AD24">
        <f t="shared" si="25"/>
        <v>5.0259032171863103</v>
      </c>
      <c r="AE24">
        <f t="shared" si="26"/>
        <v>5.026620233600803</v>
      </c>
      <c r="AF24">
        <f t="shared" si="27"/>
        <v>4.9904291499659195</v>
      </c>
      <c r="AG24">
        <f t="shared" si="28"/>
        <v>5.1078004142034921</v>
      </c>
      <c r="AH24">
        <f t="shared" si="29"/>
        <v>4.9962258130278219</v>
      </c>
      <c r="AI24">
        <f t="shared" si="30"/>
        <v>5.0563438828319089</v>
      </c>
      <c r="AJ24" t="str">
        <f t="shared" si="31"/>
        <v>C00847</v>
      </c>
      <c r="AL24">
        <f t="shared" si="32"/>
        <v>5.0352781606351886</v>
      </c>
      <c r="AM24">
        <f t="shared" si="33"/>
        <v>0.10281102784175468</v>
      </c>
      <c r="AN24">
        <f t="shared" si="34"/>
        <v>0.47080096152109835</v>
      </c>
      <c r="AO24">
        <f t="shared" si="35"/>
        <v>-1.4722376310726235</v>
      </c>
      <c r="AP24">
        <f t="shared" si="36"/>
        <v>-0.53295982956635324</v>
      </c>
      <c r="AQ24">
        <f t="shared" si="37"/>
        <v>-1.2384154076800888</v>
      </c>
      <c r="AR24">
        <f t="shared" si="38"/>
        <v>2.9570723530002936</v>
      </c>
      <c r="AS24">
        <f t="shared" si="39"/>
        <v>-0.42388816881106411</v>
      </c>
      <c r="AT24">
        <f t="shared" si="40"/>
        <v>-0.37222346822006458</v>
      </c>
      <c r="AU24">
        <f t="shared" si="41"/>
        <v>-0.23089747141350361</v>
      </c>
      <c r="AV24">
        <f t="shared" si="42"/>
        <v>0.88678925276957288</v>
      </c>
      <c r="AW24">
        <f t="shared" si="43"/>
        <v>3.7139932322124786E-2</v>
      </c>
      <c r="AX24">
        <f t="shared" si="44"/>
        <v>-9.1186165975386729E-2</v>
      </c>
      <c r="AY24">
        <f t="shared" si="45"/>
        <v>-8.4212046276901126E-2</v>
      </c>
      <c r="AZ24">
        <f t="shared" si="46"/>
        <v>-0.43622762665402143</v>
      </c>
      <c r="BA24">
        <f t="shared" si="47"/>
        <v>0.70539372177008774</v>
      </c>
      <c r="BB24">
        <f t="shared" si="48"/>
        <v>-0.37984590201233659</v>
      </c>
      <c r="BC24">
        <f t="shared" si="49"/>
        <v>0.20489749629917509</v>
      </c>
      <c r="BD24" t="str">
        <f t="shared" si="50"/>
        <v>C00847</v>
      </c>
    </row>
    <row r="25" spans="1:56" x14ac:dyDescent="0.2">
      <c r="A25" t="s">
        <v>55</v>
      </c>
      <c r="B25">
        <v>119155064</v>
      </c>
      <c r="C25">
        <v>68577440</v>
      </c>
      <c r="D25">
        <v>88895504</v>
      </c>
      <c r="E25">
        <v>91880368</v>
      </c>
      <c r="F25">
        <v>144095984</v>
      </c>
      <c r="G25">
        <v>93838200</v>
      </c>
      <c r="H25">
        <v>97321640</v>
      </c>
      <c r="I25">
        <v>88576056</v>
      </c>
      <c r="J25">
        <v>108223568</v>
      </c>
      <c r="K25">
        <v>105598344</v>
      </c>
      <c r="L25">
        <v>111095512</v>
      </c>
      <c r="M25">
        <v>117682336</v>
      </c>
      <c r="N25">
        <v>89428608</v>
      </c>
      <c r="O25">
        <v>94265128</v>
      </c>
      <c r="P25">
        <v>97251032</v>
      </c>
      <c r="Q25">
        <v>100325984</v>
      </c>
      <c r="R25" s="2" t="s">
        <v>356</v>
      </c>
      <c r="S25" s="4" t="s">
        <v>421</v>
      </c>
      <c r="T25">
        <f t="shared" si="15"/>
        <v>8.0761125042613422</v>
      </c>
      <c r="U25">
        <f t="shared" si="16"/>
        <v>7.8361812688421351</v>
      </c>
      <c r="V25">
        <f t="shared" si="17"/>
        <v>7.9488797965453868</v>
      </c>
      <c r="W25">
        <f t="shared" si="18"/>
        <v>7.9632227259662764</v>
      </c>
      <c r="X25">
        <f t="shared" si="19"/>
        <v>8.1586518770600414</v>
      </c>
      <c r="Y25">
        <f t="shared" si="20"/>
        <v>7.9723796685707624</v>
      </c>
      <c r="Z25">
        <f t="shared" si="21"/>
        <v>7.9882094187642183</v>
      </c>
      <c r="AA25">
        <f t="shared" si="22"/>
        <v>7.9473163386765568</v>
      </c>
      <c r="AB25">
        <f t="shared" si="23"/>
        <v>8.0343218479958196</v>
      </c>
      <c r="AC25">
        <f t="shared" si="24"/>
        <v>8.0236571076172893</v>
      </c>
      <c r="AD25">
        <f t="shared" si="25"/>
        <v>8.0456965148094177</v>
      </c>
      <c r="AE25">
        <f t="shared" si="26"/>
        <v>8.0707112805712811</v>
      </c>
      <c r="AF25">
        <f t="shared" si="27"/>
        <v>7.9514764707989913</v>
      </c>
      <c r="AG25">
        <f t="shared" si="28"/>
        <v>7.974351061580272</v>
      </c>
      <c r="AH25">
        <f t="shared" si="29"/>
        <v>7.9878942186304167</v>
      </c>
      <c r="AI25">
        <f t="shared" si="30"/>
        <v>8.0014134279989442</v>
      </c>
      <c r="AJ25" t="str">
        <f t="shared" si="31"/>
        <v>C00299</v>
      </c>
      <c r="AL25">
        <f t="shared" si="32"/>
        <v>7.9987797205430713</v>
      </c>
      <c r="AM25">
        <f t="shared" si="33"/>
        <v>7.1836131968801009E-2</v>
      </c>
      <c r="AN25">
        <f t="shared" si="34"/>
        <v>1.0765165328202406</v>
      </c>
      <c r="AO25">
        <f t="shared" si="35"/>
        <v>-2.2634633469902585</v>
      </c>
      <c r="AP25">
        <f t="shared" si="36"/>
        <v>-0.69463545196665699</v>
      </c>
      <c r="AQ25">
        <f t="shared" si="37"/>
        <v>-0.49497367971089423</v>
      </c>
      <c r="AR25">
        <f t="shared" si="38"/>
        <v>2.2255117603826968</v>
      </c>
      <c r="AS25">
        <f t="shared" si="39"/>
        <v>-0.36750380691118822</v>
      </c>
      <c r="AT25">
        <f t="shared" si="40"/>
        <v>-0.14714464001825364</v>
      </c>
      <c r="AU25">
        <f t="shared" si="41"/>
        <v>-0.71639967876980615</v>
      </c>
      <c r="AV25">
        <f t="shared" si="42"/>
        <v>0.49476672084995527</v>
      </c>
      <c r="AW25">
        <f t="shared" si="43"/>
        <v>0.34630744156746207</v>
      </c>
      <c r="AX25">
        <f t="shared" si="44"/>
        <v>0.6531085817193325</v>
      </c>
      <c r="AY25">
        <f t="shared" si="45"/>
        <v>1.0013284131090217</v>
      </c>
      <c r="AZ25">
        <f t="shared" si="46"/>
        <v>-0.65848826276760175</v>
      </c>
      <c r="BA25">
        <f t="shared" si="47"/>
        <v>-0.34006088987932825</v>
      </c>
      <c r="BB25">
        <f t="shared" si="48"/>
        <v>-0.15153240596782466</v>
      </c>
      <c r="BC25">
        <f t="shared" si="49"/>
        <v>3.6662712533251651E-2</v>
      </c>
      <c r="BD25" t="str">
        <f t="shared" si="50"/>
        <v>C00299</v>
      </c>
    </row>
    <row r="26" spans="1:56" x14ac:dyDescent="0.2">
      <c r="A26" t="s">
        <v>57</v>
      </c>
      <c r="B26">
        <v>8178521.5</v>
      </c>
      <c r="C26">
        <v>22026350</v>
      </c>
      <c r="D26">
        <v>15930767</v>
      </c>
      <c r="E26">
        <v>31089658</v>
      </c>
      <c r="F26">
        <v>2462985.5</v>
      </c>
      <c r="G26">
        <v>12718792</v>
      </c>
      <c r="H26">
        <v>24007728</v>
      </c>
      <c r="I26">
        <v>25671696</v>
      </c>
      <c r="J26">
        <v>11471598</v>
      </c>
      <c r="K26">
        <v>29845460</v>
      </c>
      <c r="L26">
        <v>22428730</v>
      </c>
      <c r="M26">
        <v>31109346</v>
      </c>
      <c r="N26">
        <v>18675314</v>
      </c>
      <c r="O26">
        <v>22855030</v>
      </c>
      <c r="P26">
        <v>30204098</v>
      </c>
      <c r="Q26">
        <v>8611290</v>
      </c>
      <c r="R26" s="2" t="s">
        <v>58</v>
      </c>
      <c r="S26" s="4" t="s">
        <v>421</v>
      </c>
      <c r="T26">
        <f t="shared" si="15"/>
        <v>6.9126747997071059</v>
      </c>
      <c r="U26">
        <f t="shared" si="16"/>
        <v>7.3429425359073797</v>
      </c>
      <c r="V26">
        <f t="shared" si="17"/>
        <v>7.2022366857728022</v>
      </c>
      <c r="W26">
        <f t="shared" si="18"/>
        <v>7.492615944637925</v>
      </c>
      <c r="X26">
        <f t="shared" si="19"/>
        <v>6.3914618550837137</v>
      </c>
      <c r="Y26">
        <f t="shared" si="20"/>
        <v>7.1044458650350926</v>
      </c>
      <c r="Z26">
        <f t="shared" si="21"/>
        <v>7.380351062024916</v>
      </c>
      <c r="AA26">
        <f t="shared" si="22"/>
        <v>7.4094545612741021</v>
      </c>
      <c r="AB26">
        <f t="shared" si="23"/>
        <v>7.0596239195788932</v>
      </c>
      <c r="AC26">
        <f t="shared" si="24"/>
        <v>7.4748782769426247</v>
      </c>
      <c r="AD26">
        <f t="shared" si="25"/>
        <v>7.3508046828737719</v>
      </c>
      <c r="AE26">
        <f t="shared" si="26"/>
        <v>7.4928908811962422</v>
      </c>
      <c r="AF26">
        <f t="shared" si="27"/>
        <v>7.2712679126197459</v>
      </c>
      <c r="AG26">
        <f t="shared" si="28"/>
        <v>7.3589817956899264</v>
      </c>
      <c r="AH26">
        <f t="shared" si="29"/>
        <v>7.4800658707070387</v>
      </c>
      <c r="AI26">
        <f t="shared" si="30"/>
        <v>6.9350682150908973</v>
      </c>
      <c r="AJ26" t="str">
        <f t="shared" si="31"/>
        <v>C00587</v>
      </c>
      <c r="AL26">
        <f t="shared" si="32"/>
        <v>7.228735304008886</v>
      </c>
      <c r="AM26">
        <f t="shared" si="33"/>
        <v>0.29410189780078405</v>
      </c>
      <c r="AN26">
        <f t="shared" si="34"/>
        <v>-1.0746632601326163</v>
      </c>
      <c r="AO26">
        <f t="shared" si="35"/>
        <v>0.38832538229948554</v>
      </c>
      <c r="AP26">
        <f t="shared" si="36"/>
        <v>-9.0100126637173816E-2</v>
      </c>
      <c r="AQ26">
        <f t="shared" si="37"/>
        <v>0.89724222319634261</v>
      </c>
      <c r="AR26">
        <f t="shared" si="38"/>
        <v>-2.8468821697040414</v>
      </c>
      <c r="AS26">
        <f t="shared" si="39"/>
        <v>-0.42260672203476701</v>
      </c>
      <c r="AT26">
        <f t="shared" si="40"/>
        <v>0.51552118211331655</v>
      </c>
      <c r="AU26">
        <f t="shared" si="41"/>
        <v>0.61447837846877817</v>
      </c>
      <c r="AV26">
        <f t="shared" si="42"/>
        <v>-0.57500949737000273</v>
      </c>
      <c r="AW26">
        <f t="shared" si="43"/>
        <v>0.83693092351436904</v>
      </c>
      <c r="AX26">
        <f t="shared" si="44"/>
        <v>0.41505811345553467</v>
      </c>
      <c r="AY26">
        <f t="shared" si="45"/>
        <v>0.89817705755264277</v>
      </c>
      <c r="AZ26">
        <f t="shared" si="46"/>
        <v>0.14461861323883832</v>
      </c>
      <c r="BA26">
        <f t="shared" si="47"/>
        <v>0.44286178584697722</v>
      </c>
      <c r="BB26">
        <f t="shared" si="48"/>
        <v>0.85456968682465484</v>
      </c>
      <c r="BC26">
        <f t="shared" si="49"/>
        <v>-0.9985215706323326</v>
      </c>
      <c r="BD26" t="str">
        <f t="shared" si="50"/>
        <v>C00587</v>
      </c>
    </row>
    <row r="27" spans="1:56" x14ac:dyDescent="0.2">
      <c r="A27" t="s">
        <v>59</v>
      </c>
      <c r="B27">
        <v>247662.07810000001</v>
      </c>
      <c r="C27">
        <v>280479.25</v>
      </c>
      <c r="D27">
        <v>602973.5625</v>
      </c>
      <c r="E27">
        <v>159179.45310000001</v>
      </c>
      <c r="F27">
        <v>612958.1875</v>
      </c>
      <c r="G27">
        <v>286862.6875</v>
      </c>
      <c r="H27">
        <v>586602.5</v>
      </c>
      <c r="I27">
        <v>953648.8125</v>
      </c>
      <c r="J27">
        <v>1472122</v>
      </c>
      <c r="K27">
        <v>973525.625</v>
      </c>
      <c r="L27">
        <v>1015072.875</v>
      </c>
      <c r="M27">
        <v>1547199.75</v>
      </c>
      <c r="N27">
        <v>884392.375</v>
      </c>
      <c r="O27">
        <v>1086368.375</v>
      </c>
      <c r="P27">
        <v>719447.5</v>
      </c>
      <c r="Q27">
        <v>1228511.75</v>
      </c>
      <c r="R27" s="2" t="s">
        <v>357</v>
      </c>
      <c r="S27" s="4" t="s">
        <v>421</v>
      </c>
      <c r="T27">
        <f t="shared" si="15"/>
        <v>5.393859512711261</v>
      </c>
      <c r="U27">
        <f t="shared" si="16"/>
        <v>5.4479007374501727</v>
      </c>
      <c r="V27">
        <f t="shared" si="17"/>
        <v>5.7802982708266031</v>
      </c>
      <c r="W27">
        <f t="shared" si="18"/>
        <v>5.2018870082434692</v>
      </c>
      <c r="X27">
        <f t="shared" si="19"/>
        <v>5.7874308504444185</v>
      </c>
      <c r="Y27">
        <f t="shared" si="20"/>
        <v>5.4576740628270892</v>
      </c>
      <c r="Z27">
        <f t="shared" si="21"/>
        <v>5.7683439095376308</v>
      </c>
      <c r="AA27">
        <f t="shared" si="22"/>
        <v>5.9793884723215527</v>
      </c>
      <c r="AB27">
        <f t="shared" si="23"/>
        <v>6.1679438030254259</v>
      </c>
      <c r="AC27">
        <f t="shared" si="24"/>
        <v>5.9883473874427295</v>
      </c>
      <c r="AD27">
        <f t="shared" si="25"/>
        <v>6.0064972226179485</v>
      </c>
      <c r="AE27">
        <f t="shared" si="26"/>
        <v>6.1895463865646576</v>
      </c>
      <c r="AF27">
        <f t="shared" si="27"/>
        <v>5.9466449895492586</v>
      </c>
      <c r="AG27">
        <f t="shared" si="28"/>
        <v>6.0359771144816214</v>
      </c>
      <c r="AH27">
        <f t="shared" si="29"/>
        <v>5.8569991078039862</v>
      </c>
      <c r="AI27">
        <f t="shared" si="30"/>
        <v>6.0893793146099613</v>
      </c>
      <c r="AJ27" t="str">
        <f t="shared" si="31"/>
        <v>C02946</v>
      </c>
      <c r="AL27">
        <f t="shared" si="32"/>
        <v>5.8186323844036112</v>
      </c>
      <c r="AM27">
        <f t="shared" si="33"/>
        <v>0.29681061462635022</v>
      </c>
      <c r="AN27">
        <f t="shared" si="34"/>
        <v>-1.4311242616005815</v>
      </c>
      <c r="AO27">
        <f t="shared" si="35"/>
        <v>-1.2490511750064808</v>
      </c>
      <c r="AP27">
        <f t="shared" si="36"/>
        <v>-0.12915344562480108</v>
      </c>
      <c r="AQ27">
        <f t="shared" si="37"/>
        <v>-2.077908759889036</v>
      </c>
      <c r="AR27">
        <f t="shared" si="38"/>
        <v>-0.10512270256396238</v>
      </c>
      <c r="AS27">
        <f t="shared" si="39"/>
        <v>-1.2161233587650704</v>
      </c>
      <c r="AT27">
        <f t="shared" si="40"/>
        <v>-0.16942950281373098</v>
      </c>
      <c r="AU27">
        <f t="shared" si="41"/>
        <v>0.5416116540182182</v>
      </c>
      <c r="AV27">
        <f t="shared" si="42"/>
        <v>1.1768831753593343</v>
      </c>
      <c r="AW27">
        <f t="shared" si="43"/>
        <v>0.57179559852591411</v>
      </c>
      <c r="AX27">
        <f t="shared" si="44"/>
        <v>0.63294514736555874</v>
      </c>
      <c r="AY27">
        <f t="shared" si="45"/>
        <v>1.2496655573722781</v>
      </c>
      <c r="AZ27">
        <f t="shared" si="46"/>
        <v>0.43129389192094847</v>
      </c>
      <c r="BA27">
        <f t="shared" si="47"/>
        <v>0.73226737646031226</v>
      </c>
      <c r="BB27">
        <f t="shared" si="48"/>
        <v>0.12926331306807967</v>
      </c>
      <c r="BC27">
        <f t="shared" si="49"/>
        <v>0.91218749217304362</v>
      </c>
      <c r="BD27" t="str">
        <f t="shared" si="50"/>
        <v>C02946</v>
      </c>
    </row>
    <row r="28" spans="1:56" x14ac:dyDescent="0.2">
      <c r="A28" t="s">
        <v>60</v>
      </c>
      <c r="B28">
        <v>164275.7188</v>
      </c>
      <c r="C28">
        <v>111456.875</v>
      </c>
      <c r="D28">
        <v>80317.539059999996</v>
      </c>
      <c r="E28">
        <v>95511.539059999996</v>
      </c>
      <c r="F28">
        <v>64150.621090000001</v>
      </c>
      <c r="G28">
        <v>102013.0625</v>
      </c>
      <c r="H28">
        <v>58933.074220000002</v>
      </c>
      <c r="I28">
        <v>80073.859379999994</v>
      </c>
      <c r="J28">
        <v>145301.4062</v>
      </c>
      <c r="K28">
        <v>116030.8281</v>
      </c>
      <c r="L28">
        <v>90044.679690000004</v>
      </c>
      <c r="M28">
        <v>110948.39840000001</v>
      </c>
      <c r="N28">
        <v>223965.9062</v>
      </c>
      <c r="O28">
        <v>73596.1875</v>
      </c>
      <c r="P28">
        <v>111187.11719999999</v>
      </c>
      <c r="Q28">
        <v>136566.125</v>
      </c>
      <c r="R28" s="2" t="s">
        <v>61</v>
      </c>
      <c r="S28" s="4" t="s">
        <v>421</v>
      </c>
      <c r="T28">
        <f t="shared" si="15"/>
        <v>5.2155733761528627</v>
      </c>
      <c r="U28">
        <f t="shared" si="16"/>
        <v>5.0471068622507591</v>
      </c>
      <c r="V28">
        <f t="shared" si="17"/>
        <v>4.9048103931645421</v>
      </c>
      <c r="W28">
        <f t="shared" si="18"/>
        <v>4.9800558432837816</v>
      </c>
      <c r="X28">
        <f t="shared" si="19"/>
        <v>4.8072008654600351</v>
      </c>
      <c r="Y28">
        <f t="shared" si="20"/>
        <v>5.0086557855702498</v>
      </c>
      <c r="Z28">
        <f t="shared" si="21"/>
        <v>4.7703590964821956</v>
      </c>
      <c r="AA28">
        <f t="shared" si="22"/>
        <v>4.9034907610292713</v>
      </c>
      <c r="AB28">
        <f t="shared" si="23"/>
        <v>5.1622698173396273</v>
      </c>
      <c r="AC28">
        <f t="shared" si="24"/>
        <v>5.0645733917698132</v>
      </c>
      <c r="AD28">
        <f t="shared" si="25"/>
        <v>4.9544580575271873</v>
      </c>
      <c r="AE28">
        <f t="shared" si="26"/>
        <v>5.0451210373380801</v>
      </c>
      <c r="AF28">
        <f t="shared" si="27"/>
        <v>5.3501819117442162</v>
      </c>
      <c r="AG28">
        <f t="shared" si="28"/>
        <v>4.8668553171826368</v>
      </c>
      <c r="AH28">
        <f t="shared" si="29"/>
        <v>5.04605447022203</v>
      </c>
      <c r="AI28">
        <f t="shared" si="30"/>
        <v>5.1353429866805564</v>
      </c>
      <c r="AJ28" t="str">
        <f t="shared" si="31"/>
        <v>C01983</v>
      </c>
      <c r="AL28">
        <f t="shared" si="32"/>
        <v>5.0163818733248648</v>
      </c>
      <c r="AM28">
        <f t="shared" si="33"/>
        <v>0.15243711952563824</v>
      </c>
      <c r="AN28">
        <f t="shared" si="34"/>
        <v>1.3067125871169194</v>
      </c>
      <c r="AO28">
        <f t="shared" si="35"/>
        <v>0.20155844601043288</v>
      </c>
      <c r="AP28">
        <f t="shared" si="36"/>
        <v>-0.73191805583519709</v>
      </c>
      <c r="AQ28">
        <f t="shared" si="37"/>
        <v>-0.23830173486696998</v>
      </c>
      <c r="AR28">
        <f t="shared" si="38"/>
        <v>-1.372244559040279</v>
      </c>
      <c r="AS28">
        <f t="shared" si="39"/>
        <v>-5.0683769010182504E-2</v>
      </c>
      <c r="AT28">
        <f t="shared" si="40"/>
        <v>-1.6139295836096599</v>
      </c>
      <c r="AU28">
        <f t="shared" si="41"/>
        <v>-0.74057495081837021</v>
      </c>
      <c r="AV28">
        <f t="shared" si="42"/>
        <v>0.95703687178519348</v>
      </c>
      <c r="AW28">
        <f t="shared" si="43"/>
        <v>0.31614031146031413</v>
      </c>
      <c r="AX28">
        <f t="shared" si="44"/>
        <v>-0.40622530778838734</v>
      </c>
      <c r="AY28">
        <f t="shared" si="45"/>
        <v>0.18853127179683876</v>
      </c>
      <c r="AZ28">
        <f t="shared" si="46"/>
        <v>2.1897556150240027</v>
      </c>
      <c r="BA28">
        <f t="shared" si="47"/>
        <v>-0.98090646561370753</v>
      </c>
      <c r="BB28">
        <f t="shared" si="48"/>
        <v>0.19465466803296927</v>
      </c>
      <c r="BC28">
        <f t="shared" si="49"/>
        <v>0.78039465535612962</v>
      </c>
      <c r="BD28" t="str">
        <f t="shared" si="50"/>
        <v>C01983</v>
      </c>
    </row>
    <row r="29" spans="1:56" x14ac:dyDescent="0.2">
      <c r="A29" t="s">
        <v>62</v>
      </c>
      <c r="B29">
        <v>1411903.5</v>
      </c>
      <c r="C29">
        <v>1327869.75</v>
      </c>
      <c r="D29">
        <v>2489466.5</v>
      </c>
      <c r="E29">
        <v>1074423.75</v>
      </c>
      <c r="F29">
        <v>1835438.25</v>
      </c>
      <c r="G29">
        <v>2690126.25</v>
      </c>
      <c r="H29">
        <v>1240641</v>
      </c>
      <c r="I29">
        <v>2356985</v>
      </c>
      <c r="J29">
        <v>3425261.25</v>
      </c>
      <c r="K29">
        <v>498055.53120000003</v>
      </c>
      <c r="L29">
        <v>1300851.625</v>
      </c>
      <c r="M29">
        <v>821183.375</v>
      </c>
      <c r="N29">
        <v>547873.9375</v>
      </c>
      <c r="O29">
        <v>729276.375</v>
      </c>
      <c r="P29">
        <v>783484.25</v>
      </c>
      <c r="Q29">
        <v>948046.9375</v>
      </c>
      <c r="R29" s="2" t="s">
        <v>358</v>
      </c>
      <c r="S29" s="4" t="s">
        <v>421</v>
      </c>
      <c r="T29">
        <f t="shared" si="15"/>
        <v>6.1498050148109185</v>
      </c>
      <c r="U29">
        <f t="shared" si="16"/>
        <v>6.1231554774186829</v>
      </c>
      <c r="V29">
        <f t="shared" si="17"/>
        <v>6.3961062864809168</v>
      </c>
      <c r="W29">
        <f t="shared" si="18"/>
        <v>6.0311755997909122</v>
      </c>
      <c r="X29">
        <f t="shared" si="19"/>
        <v>6.2637397780334849</v>
      </c>
      <c r="Y29">
        <f t="shared" si="20"/>
        <v>6.4297726623041616</v>
      </c>
      <c r="Z29">
        <f t="shared" si="21"/>
        <v>6.093646129383786</v>
      </c>
      <c r="AA29">
        <f t="shared" si="22"/>
        <v>6.3723568186558648</v>
      </c>
      <c r="AB29">
        <f t="shared" si="23"/>
        <v>6.5346937014069626</v>
      </c>
      <c r="AC29">
        <f t="shared" si="24"/>
        <v>5.6972777675573374</v>
      </c>
      <c r="AD29">
        <f t="shared" si="25"/>
        <v>6.1142277638032976</v>
      </c>
      <c r="AE29">
        <f t="shared" si="26"/>
        <v>5.9144401484203666</v>
      </c>
      <c r="AF29">
        <f t="shared" si="27"/>
        <v>5.738680641429144</v>
      </c>
      <c r="AG29">
        <f t="shared" si="28"/>
        <v>5.862892144766449</v>
      </c>
      <c r="AH29">
        <f t="shared" si="29"/>
        <v>5.894030270483178</v>
      </c>
      <c r="AI29">
        <f t="shared" si="30"/>
        <v>5.9768298396509527</v>
      </c>
      <c r="AJ29" t="str">
        <f t="shared" si="31"/>
        <v>C00212</v>
      </c>
      <c r="AL29">
        <f t="shared" si="32"/>
        <v>6.0995518777747755</v>
      </c>
      <c r="AM29">
        <f t="shared" si="33"/>
        <v>0.24971363542085842</v>
      </c>
      <c r="AN29">
        <f t="shared" si="34"/>
        <v>0.20124306368552178</v>
      </c>
      <c r="AO29">
        <f t="shared" si="35"/>
        <v>9.4522670354491439E-2</v>
      </c>
      <c r="AP29">
        <f t="shared" si="36"/>
        <v>1.1875779558706883</v>
      </c>
      <c r="AQ29">
        <f t="shared" si="37"/>
        <v>-0.27381875991122523</v>
      </c>
      <c r="AR29">
        <f t="shared" si="38"/>
        <v>0.65750474531353897</v>
      </c>
      <c r="AS29">
        <f t="shared" si="39"/>
        <v>1.3223978897782005</v>
      </c>
      <c r="AT29">
        <f t="shared" si="40"/>
        <v>-2.3650083749075675E-2</v>
      </c>
      <c r="AU29">
        <f t="shared" si="41"/>
        <v>1.092471143681496</v>
      </c>
      <c r="AV29">
        <f t="shared" si="42"/>
        <v>1.7425633281851616</v>
      </c>
      <c r="AW29">
        <f t="shared" si="43"/>
        <v>-1.6109417074460499</v>
      </c>
      <c r="AX29">
        <f t="shared" si="44"/>
        <v>5.8770863688672376E-2</v>
      </c>
      <c r="AY29">
        <f t="shared" si="45"/>
        <v>-0.74129604113298908</v>
      </c>
      <c r="AZ29">
        <f t="shared" si="46"/>
        <v>-1.4451402933501489</v>
      </c>
      <c r="BA29">
        <f t="shared" si="47"/>
        <v>-0.94772451095619425</v>
      </c>
      <c r="BB29">
        <f t="shared" si="48"/>
        <v>-0.82302917477941784</v>
      </c>
      <c r="BC29">
        <f t="shared" si="49"/>
        <v>-0.49145108923263814</v>
      </c>
      <c r="BD29" t="str">
        <f t="shared" si="50"/>
        <v>C00212</v>
      </c>
    </row>
    <row r="30" spans="1:56" x14ac:dyDescent="0.2">
      <c r="A30" t="s">
        <v>63</v>
      </c>
      <c r="B30">
        <v>37579.949220000002</v>
      </c>
      <c r="C30">
        <v>40443.742189999997</v>
      </c>
      <c r="D30">
        <v>43780.003909999999</v>
      </c>
      <c r="E30">
        <v>31176.23633</v>
      </c>
      <c r="F30">
        <v>42010.539060000003</v>
      </c>
      <c r="G30">
        <v>32886.929689999997</v>
      </c>
      <c r="H30">
        <v>26667.695309999999</v>
      </c>
      <c r="I30">
        <v>36753.019529999998</v>
      </c>
      <c r="J30">
        <v>53233.023439999997</v>
      </c>
      <c r="K30">
        <v>40220.464840000001</v>
      </c>
      <c r="L30">
        <v>55752.472659999999</v>
      </c>
      <c r="M30">
        <v>54749.953119999998</v>
      </c>
      <c r="N30">
        <v>46478.695310000003</v>
      </c>
      <c r="O30">
        <v>46440.351560000003</v>
      </c>
      <c r="P30">
        <v>45488.449220000002</v>
      </c>
      <c r="Q30">
        <v>44626.683590000001</v>
      </c>
      <c r="R30" s="2" t="s">
        <v>64</v>
      </c>
      <c r="S30" s="4" t="s">
        <v>421</v>
      </c>
      <c r="T30">
        <f t="shared" si="15"/>
        <v>4.5749561889234025</v>
      </c>
      <c r="U30">
        <f t="shared" si="16"/>
        <v>4.6068513333006615</v>
      </c>
      <c r="V30">
        <f t="shared" si="17"/>
        <v>4.6412757960188324</v>
      </c>
      <c r="W30">
        <f t="shared" si="18"/>
        <v>4.4938236849461006</v>
      </c>
      <c r="X30">
        <f t="shared" si="19"/>
        <v>4.6233582542416674</v>
      </c>
      <c r="Y30">
        <f t="shared" si="20"/>
        <v>4.5170233298240197</v>
      </c>
      <c r="Z30">
        <f t="shared" si="21"/>
        <v>4.4259854844788142</v>
      </c>
      <c r="AA30">
        <f t="shared" si="22"/>
        <v>4.5652930253616102</v>
      </c>
      <c r="AB30">
        <f t="shared" si="23"/>
        <v>4.7261811332029833</v>
      </c>
      <c r="AC30">
        <f t="shared" si="24"/>
        <v>4.6044470855615778</v>
      </c>
      <c r="AD30">
        <f t="shared" si="25"/>
        <v>4.7462641334023505</v>
      </c>
      <c r="AE30">
        <f t="shared" si="26"/>
        <v>4.7383837516448679</v>
      </c>
      <c r="AF30">
        <f t="shared" si="27"/>
        <v>4.6672539285987069</v>
      </c>
      <c r="AG30">
        <f t="shared" si="28"/>
        <v>4.6668954987493558</v>
      </c>
      <c r="AH30">
        <f t="shared" si="29"/>
        <v>4.6579011312314318</v>
      </c>
      <c r="AI30">
        <f t="shared" si="30"/>
        <v>4.6495946136592847</v>
      </c>
      <c r="AJ30" t="str">
        <f t="shared" si="31"/>
        <v>C12115</v>
      </c>
      <c r="AL30">
        <f t="shared" si="32"/>
        <v>4.6190930233216045</v>
      </c>
      <c r="AM30">
        <f t="shared" si="33"/>
        <v>8.8705459851294396E-2</v>
      </c>
      <c r="AN30">
        <f t="shared" si="34"/>
        <v>-0.49756615288611228</v>
      </c>
      <c r="AO30">
        <f t="shared" si="35"/>
        <v>-0.13800379414598532</v>
      </c>
      <c r="AP30">
        <f t="shared" si="36"/>
        <v>0.25007223607673129</v>
      </c>
      <c r="AQ30">
        <f t="shared" si="37"/>
        <v>-1.4121942277905453</v>
      </c>
      <c r="AR30">
        <f t="shared" si="38"/>
        <v>4.8083070954291138E-2</v>
      </c>
      <c r="AS30">
        <f t="shared" si="39"/>
        <v>-1.1506585239363423</v>
      </c>
      <c r="AT30">
        <f t="shared" si="40"/>
        <v>-2.1769521195934871</v>
      </c>
      <c r="AU30">
        <f t="shared" si="41"/>
        <v>-0.60650153947890617</v>
      </c>
      <c r="AV30">
        <f t="shared" si="42"/>
        <v>1.2072324528941167</v>
      </c>
      <c r="AW30">
        <f t="shared" si="43"/>
        <v>-0.16510751181019945</v>
      </c>
      <c r="AX30">
        <f t="shared" si="44"/>
        <v>1.4336334008519354</v>
      </c>
      <c r="AY30">
        <f t="shared" si="45"/>
        <v>1.3447957828440553</v>
      </c>
      <c r="AZ30">
        <f t="shared" si="46"/>
        <v>0.54293056321267252</v>
      </c>
      <c r="BA30">
        <f t="shared" si="47"/>
        <v>0.53888988916676872</v>
      </c>
      <c r="BB30">
        <f t="shared" si="48"/>
        <v>0.43749401643241648</v>
      </c>
      <c r="BC30">
        <f t="shared" si="49"/>
        <v>0.34385245720853003</v>
      </c>
      <c r="BD30" t="str">
        <f t="shared" si="50"/>
        <v>C12115</v>
      </c>
    </row>
    <row r="31" spans="1:56" x14ac:dyDescent="0.2">
      <c r="A31" t="s">
        <v>65</v>
      </c>
      <c r="B31">
        <v>160899552</v>
      </c>
      <c r="C31">
        <v>149027936</v>
      </c>
      <c r="D31">
        <v>166930112</v>
      </c>
      <c r="E31">
        <v>126042080</v>
      </c>
      <c r="F31">
        <v>140052240</v>
      </c>
      <c r="G31">
        <v>104578208</v>
      </c>
      <c r="H31">
        <v>100480960</v>
      </c>
      <c r="I31">
        <v>120761360</v>
      </c>
      <c r="J31">
        <v>86775528</v>
      </c>
      <c r="K31">
        <v>67576808</v>
      </c>
      <c r="L31">
        <v>58399708</v>
      </c>
      <c r="M31">
        <v>88150624</v>
      </c>
      <c r="N31">
        <v>57991368</v>
      </c>
      <c r="O31">
        <v>75321744</v>
      </c>
      <c r="P31">
        <v>70805648</v>
      </c>
      <c r="Q31">
        <v>64307248</v>
      </c>
      <c r="R31" s="2" t="s">
        <v>52</v>
      </c>
      <c r="S31" s="4" t="s">
        <v>421</v>
      </c>
      <c r="T31">
        <f t="shared" si="15"/>
        <v>8.2065548348746749</v>
      </c>
      <c r="U31">
        <f t="shared" si="16"/>
        <v>8.1732676866232303</v>
      </c>
      <c r="V31">
        <f t="shared" si="17"/>
        <v>8.2225346847671172</v>
      </c>
      <c r="W31">
        <f t="shared" si="18"/>
        <v>8.1005155614733102</v>
      </c>
      <c r="X31">
        <f t="shared" si="19"/>
        <v>8.1462900593349516</v>
      </c>
      <c r="Y31">
        <f t="shared" si="20"/>
        <v>8.0194411957038163</v>
      </c>
      <c r="Z31">
        <f t="shared" si="21"/>
        <v>8.0020837756836354</v>
      </c>
      <c r="AA31">
        <f t="shared" si="22"/>
        <v>8.0819279953511387</v>
      </c>
      <c r="AB31">
        <f t="shared" si="23"/>
        <v>7.9383972648878327</v>
      </c>
      <c r="AC31">
        <f t="shared" si="24"/>
        <v>7.8297976739626121</v>
      </c>
      <c r="AD31">
        <f t="shared" si="25"/>
        <v>7.7664106756345612</v>
      </c>
      <c r="AE31">
        <f t="shared" si="26"/>
        <v>7.9452253909268613</v>
      </c>
      <c r="AF31">
        <f t="shared" si="27"/>
        <v>7.76336335375328</v>
      </c>
      <c r="AG31">
        <f t="shared" si="28"/>
        <v>7.8769203671174344</v>
      </c>
      <c r="AH31">
        <f t="shared" si="29"/>
        <v>7.8500679017208475</v>
      </c>
      <c r="AI31">
        <f t="shared" si="30"/>
        <v>7.8082599245417574</v>
      </c>
      <c r="AJ31" t="str">
        <f t="shared" si="31"/>
        <v>C00262</v>
      </c>
      <c r="AL31">
        <f t="shared" si="32"/>
        <v>7.9831911466473171</v>
      </c>
      <c r="AM31">
        <f t="shared" si="33"/>
        <v>0.15853573358815259</v>
      </c>
      <c r="AN31">
        <f t="shared" si="34"/>
        <v>1.4089169878105623</v>
      </c>
      <c r="AO31">
        <f t="shared" si="35"/>
        <v>1.1989507707435725</v>
      </c>
      <c r="AP31">
        <f t="shared" si="36"/>
        <v>1.5097135056098565</v>
      </c>
      <c r="AQ31">
        <f t="shared" si="37"/>
        <v>0.74005028500880998</v>
      </c>
      <c r="AR31">
        <f t="shared" si="38"/>
        <v>1.0287832843498632</v>
      </c>
      <c r="AS31">
        <f t="shared" si="39"/>
        <v>0.22865538409574165</v>
      </c>
      <c r="AT31">
        <f t="shared" si="40"/>
        <v>0.11916953111276438</v>
      </c>
      <c r="AU31">
        <f t="shared" si="41"/>
        <v>0.62280500723150678</v>
      </c>
      <c r="AV31">
        <f t="shared" si="42"/>
        <v>-0.28254754146374894</v>
      </c>
      <c r="AW31">
        <f t="shared" si="43"/>
        <v>-0.96756402618474502</v>
      </c>
      <c r="AX31">
        <f t="shared" si="44"/>
        <v>-1.3673918561219307</v>
      </c>
      <c r="AY31">
        <f t="shared" si="45"/>
        <v>-0.23947759196727231</v>
      </c>
      <c r="AZ31">
        <f t="shared" si="46"/>
        <v>-1.3866135281848209</v>
      </c>
      <c r="BA31">
        <f t="shared" si="47"/>
        <v>-0.67032698007349656</v>
      </c>
      <c r="BB31">
        <f t="shared" si="48"/>
        <v>-0.83970497952404832</v>
      </c>
      <c r="BC31">
        <f t="shared" si="49"/>
        <v>-1.103418252442693</v>
      </c>
      <c r="BD31" t="str">
        <f t="shared" si="50"/>
        <v>C00262</v>
      </c>
    </row>
    <row r="32" spans="1:56" x14ac:dyDescent="0.2">
      <c r="A32" t="s">
        <v>66</v>
      </c>
      <c r="B32">
        <v>165278.2188</v>
      </c>
      <c r="C32">
        <v>110127.9531</v>
      </c>
      <c r="D32">
        <v>149750.8125</v>
      </c>
      <c r="E32">
        <v>93672.179690000004</v>
      </c>
      <c r="F32">
        <v>134500.9688</v>
      </c>
      <c r="G32">
        <v>121787.9219</v>
      </c>
      <c r="H32">
        <v>150271</v>
      </c>
      <c r="I32">
        <v>155565.9375</v>
      </c>
      <c r="J32">
        <v>127028.125</v>
      </c>
      <c r="K32">
        <v>106076.63280000001</v>
      </c>
      <c r="L32">
        <v>110423.3438</v>
      </c>
      <c r="M32">
        <v>125046.7969</v>
      </c>
      <c r="N32">
        <v>107133.71090000001</v>
      </c>
      <c r="O32">
        <v>101263.5</v>
      </c>
      <c r="P32">
        <v>104626.9531</v>
      </c>
      <c r="Q32">
        <v>126457.69530000001</v>
      </c>
      <c r="R32" s="2" t="s">
        <v>67</v>
      </c>
      <c r="S32" s="4" t="s">
        <v>421</v>
      </c>
      <c r="T32">
        <f t="shared" si="15"/>
        <v>5.2182156238179731</v>
      </c>
      <c r="U32">
        <f t="shared" si="16"/>
        <v>5.0418975672574611</v>
      </c>
      <c r="V32">
        <f t="shared" si="17"/>
        <v>5.1753691874106593</v>
      </c>
      <c r="W32">
        <f t="shared" si="18"/>
        <v>4.9716106260945354</v>
      </c>
      <c r="X32">
        <f t="shared" si="19"/>
        <v>5.128725412539012</v>
      </c>
      <c r="Y32">
        <f t="shared" si="20"/>
        <v>5.0856042200515574</v>
      </c>
      <c r="Z32">
        <f t="shared" si="21"/>
        <v>5.1768751764939367</v>
      </c>
      <c r="AA32">
        <f t="shared" si="22"/>
        <v>5.19191451055074</v>
      </c>
      <c r="AB32">
        <f t="shared" si="23"/>
        <v>5.1038998877276747</v>
      </c>
      <c r="AC32">
        <f t="shared" si="24"/>
        <v>5.0256197254310875</v>
      </c>
      <c r="AD32">
        <f t="shared" si="25"/>
        <v>5.0430608941526156</v>
      </c>
      <c r="AE32">
        <f t="shared" si="26"/>
        <v>5.0970725716645111</v>
      </c>
      <c r="AF32">
        <f t="shared" si="27"/>
        <v>5.0299261482754689</v>
      </c>
      <c r="AG32">
        <f t="shared" si="28"/>
        <v>5.0054529339575744</v>
      </c>
      <c r="AH32">
        <f t="shared" si="29"/>
        <v>5.0196435781710713</v>
      </c>
      <c r="AI32">
        <f t="shared" si="30"/>
        <v>5.1019452625031896</v>
      </c>
      <c r="AJ32" t="str">
        <f t="shared" si="31"/>
        <v>C05984</v>
      </c>
      <c r="AL32">
        <f t="shared" si="32"/>
        <v>5.0885520828811908</v>
      </c>
      <c r="AM32">
        <f t="shared" si="33"/>
        <v>7.389968426257161E-2</v>
      </c>
      <c r="AN32">
        <f t="shared" si="34"/>
        <v>1.7545885646287365</v>
      </c>
      <c r="AO32">
        <f t="shared" si="35"/>
        <v>-0.63132225921239915</v>
      </c>
      <c r="AP32">
        <f t="shared" si="36"/>
        <v>1.1747966908897784</v>
      </c>
      <c r="AQ32">
        <f t="shared" si="37"/>
        <v>-1.5824351342443197</v>
      </c>
      <c r="AR32">
        <f t="shared" si="38"/>
        <v>0.54361977400447559</v>
      </c>
      <c r="AS32">
        <f t="shared" si="39"/>
        <v>-3.98900598703417E-2</v>
      </c>
      <c r="AT32">
        <f t="shared" si="40"/>
        <v>1.1951755206277577</v>
      </c>
      <c r="AU32">
        <f t="shared" si="41"/>
        <v>1.3986856466435518</v>
      </c>
      <c r="AV32">
        <f t="shared" si="42"/>
        <v>0.20768430879828795</v>
      </c>
      <c r="AW32">
        <f t="shared" si="43"/>
        <v>-0.85159169593336126</v>
      </c>
      <c r="AX32">
        <f t="shared" si="44"/>
        <v>-0.61558028538987064</v>
      </c>
      <c r="AY32">
        <f t="shared" si="45"/>
        <v>0.11529804042255923</v>
      </c>
      <c r="AZ32">
        <f t="shared" si="46"/>
        <v>-0.79331779547824754</v>
      </c>
      <c r="BA32">
        <f t="shared" si="47"/>
        <v>-1.1244858452758513</v>
      </c>
      <c r="BB32">
        <f t="shared" si="48"/>
        <v>-0.93246006931886072</v>
      </c>
      <c r="BC32">
        <f t="shared" si="49"/>
        <v>0.18123459870832137</v>
      </c>
      <c r="BD32" t="str">
        <f t="shared" si="50"/>
        <v>C05984</v>
      </c>
    </row>
    <row r="33" spans="1:56" x14ac:dyDescent="0.2">
      <c r="A33" t="s">
        <v>68</v>
      </c>
      <c r="B33">
        <v>1487250</v>
      </c>
      <c r="C33">
        <v>946756.3125</v>
      </c>
      <c r="D33">
        <v>1671310.75</v>
      </c>
      <c r="E33">
        <v>785530.5</v>
      </c>
      <c r="F33">
        <v>1424368.625</v>
      </c>
      <c r="G33">
        <v>945598.5625</v>
      </c>
      <c r="H33">
        <v>1019424.562</v>
      </c>
      <c r="I33">
        <v>1341719.625</v>
      </c>
      <c r="J33">
        <v>531497.875</v>
      </c>
      <c r="K33">
        <v>369594.90620000003</v>
      </c>
      <c r="L33">
        <v>474494.96879999997</v>
      </c>
      <c r="M33">
        <v>549914.375</v>
      </c>
      <c r="N33">
        <v>866154.0625</v>
      </c>
      <c r="O33">
        <v>701037.3125</v>
      </c>
      <c r="P33">
        <v>969700.0625</v>
      </c>
      <c r="Q33">
        <v>973196.8125</v>
      </c>
      <c r="R33" s="2" t="s">
        <v>69</v>
      </c>
      <c r="S33" s="4" t="s">
        <v>421</v>
      </c>
      <c r="T33">
        <f t="shared" si="15"/>
        <v>6.1723839775970024</v>
      </c>
      <c r="U33">
        <f t="shared" si="16"/>
        <v>5.9762382094620241</v>
      </c>
      <c r="V33">
        <f t="shared" si="17"/>
        <v>6.2230572066037846</v>
      </c>
      <c r="W33">
        <f t="shared" si="18"/>
        <v>5.8951630521698073</v>
      </c>
      <c r="X33">
        <f t="shared" si="19"/>
        <v>6.1536223987712129</v>
      </c>
      <c r="Y33">
        <f t="shared" si="20"/>
        <v>5.975706803322721</v>
      </c>
      <c r="Z33">
        <f t="shared" si="21"/>
        <v>6.0083550932634369</v>
      </c>
      <c r="AA33">
        <f t="shared" si="22"/>
        <v>6.1276617721392785</v>
      </c>
      <c r="AB33">
        <f t="shared" si="23"/>
        <v>5.725501532495028</v>
      </c>
      <c r="AC33">
        <f t="shared" si="24"/>
        <v>5.5677259770922349</v>
      </c>
      <c r="AD33">
        <f t="shared" si="25"/>
        <v>5.6762316118444884</v>
      </c>
      <c r="AE33">
        <f t="shared" si="26"/>
        <v>5.7402950724761679</v>
      </c>
      <c r="AF33">
        <f t="shared" si="27"/>
        <v>5.9375951466856733</v>
      </c>
      <c r="AG33">
        <f t="shared" si="28"/>
        <v>5.8457411337749408</v>
      </c>
      <c r="AH33">
        <f t="shared" si="29"/>
        <v>5.9866374236017021</v>
      </c>
      <c r="AI33">
        <f t="shared" si="30"/>
        <v>5.9882006778215349</v>
      </c>
      <c r="AJ33" t="str">
        <f t="shared" si="31"/>
        <v>C00503</v>
      </c>
      <c r="AL33">
        <f t="shared" si="32"/>
        <v>5.9375073180700664</v>
      </c>
      <c r="AM33">
        <f t="shared" si="33"/>
        <v>0.18825318718540537</v>
      </c>
      <c r="AN33">
        <f t="shared" si="34"/>
        <v>1.2476636546695621</v>
      </c>
      <c r="AO33">
        <f t="shared" si="35"/>
        <v>0.20573830366979523</v>
      </c>
      <c r="AP33">
        <f t="shared" si="36"/>
        <v>1.5168395967314381</v>
      </c>
      <c r="AQ33">
        <f t="shared" si="37"/>
        <v>-0.22493253120094792</v>
      </c>
      <c r="AR33">
        <f t="shared" si="38"/>
        <v>1.1480022406648589</v>
      </c>
      <c r="AS33">
        <f t="shared" si="39"/>
        <v>0.20291547688397424</v>
      </c>
      <c r="AT33">
        <f t="shared" si="40"/>
        <v>0.37634303170439537</v>
      </c>
      <c r="AU33">
        <f t="shared" si="41"/>
        <v>1.0100995202909064</v>
      </c>
      <c r="AV33">
        <f t="shared" si="42"/>
        <v>-1.126173685262708</v>
      </c>
      <c r="AW33">
        <f t="shared" si="43"/>
        <v>-1.9642766558509523</v>
      </c>
      <c r="AX33">
        <f t="shared" si="44"/>
        <v>-1.3878952602712362</v>
      </c>
      <c r="AY33">
        <f t="shared" si="45"/>
        <v>-1.0475904739911235</v>
      </c>
      <c r="AZ33">
        <f t="shared" si="46"/>
        <v>4.6654517206376077E-4</v>
      </c>
      <c r="BA33">
        <f t="shared" si="47"/>
        <v>-0.48746151747618294</v>
      </c>
      <c r="BB33">
        <f t="shared" si="48"/>
        <v>0.26097887778786388</v>
      </c>
      <c r="BC33">
        <f t="shared" si="49"/>
        <v>0.26928287647816557</v>
      </c>
      <c r="BD33" t="str">
        <f t="shared" si="50"/>
        <v>C00503</v>
      </c>
    </row>
    <row r="34" spans="1:56" x14ac:dyDescent="0.2">
      <c r="A34" t="s">
        <v>70</v>
      </c>
      <c r="B34">
        <v>394286.6875</v>
      </c>
      <c r="C34">
        <v>313396.53120000003</v>
      </c>
      <c r="D34">
        <v>417507.9375</v>
      </c>
      <c r="E34">
        <v>264263.5</v>
      </c>
      <c r="F34">
        <v>922737.625</v>
      </c>
      <c r="G34">
        <v>593360.4375</v>
      </c>
      <c r="H34">
        <v>503691.40620000003</v>
      </c>
      <c r="I34">
        <v>571293.3125</v>
      </c>
      <c r="J34">
        <v>123436.5312</v>
      </c>
      <c r="K34">
        <v>85146.617190000004</v>
      </c>
      <c r="L34">
        <v>74124.625</v>
      </c>
      <c r="M34">
        <v>98197.171879999994</v>
      </c>
      <c r="N34">
        <v>410156.53120000003</v>
      </c>
      <c r="O34">
        <v>491232.28120000003</v>
      </c>
      <c r="P34">
        <v>464413.25</v>
      </c>
      <c r="Q34">
        <v>415793.875</v>
      </c>
      <c r="R34" s="2" t="s">
        <v>359</v>
      </c>
      <c r="S34" s="4" t="s">
        <v>421</v>
      </c>
      <c r="T34">
        <f t="shared" si="15"/>
        <v>5.5958121140174484</v>
      </c>
      <c r="U34">
        <f t="shared" si="16"/>
        <v>5.4960941852115885</v>
      </c>
      <c r="V34">
        <f t="shared" si="17"/>
        <v>5.6206647365374209</v>
      </c>
      <c r="W34">
        <f t="shared" si="18"/>
        <v>5.4220371826426499</v>
      </c>
      <c r="X34">
        <f t="shared" si="19"/>
        <v>5.9650782295054601</v>
      </c>
      <c r="Y34">
        <f t="shared" si="20"/>
        <v>5.7733185862204124</v>
      </c>
      <c r="Z34">
        <f t="shared" si="21"/>
        <v>5.7021645411460629</v>
      </c>
      <c r="AA34">
        <f t="shared" si="22"/>
        <v>5.7568591402843428</v>
      </c>
      <c r="AB34">
        <f t="shared" si="23"/>
        <v>5.0914437087301883</v>
      </c>
      <c r="AC34">
        <f t="shared" si="24"/>
        <v>4.9301673984536434</v>
      </c>
      <c r="AD34">
        <f t="shared" si="25"/>
        <v>4.8699625092614562</v>
      </c>
      <c r="AE34">
        <f t="shared" si="26"/>
        <v>4.9920989801026643</v>
      </c>
      <c r="AF34">
        <f t="shared" si="27"/>
        <v>5.6129496315069742</v>
      </c>
      <c r="AG34">
        <f t="shared" si="28"/>
        <v>5.6912868986184</v>
      </c>
      <c r="AH34">
        <f t="shared" si="29"/>
        <v>5.6669046019360367</v>
      </c>
      <c r="AI34">
        <f t="shared" si="30"/>
        <v>5.6188780875127806</v>
      </c>
      <c r="AJ34" t="str">
        <f t="shared" si="31"/>
        <v>C02710</v>
      </c>
      <c r="AL34">
        <f t="shared" si="32"/>
        <v>5.4878575332304713</v>
      </c>
      <c r="AM34">
        <f t="shared" si="33"/>
        <v>0.33298627181455132</v>
      </c>
      <c r="AN34">
        <f t="shared" si="34"/>
        <v>0.32420129574320639</v>
      </c>
      <c r="AO34">
        <f t="shared" si="35"/>
        <v>2.4735710382992701E-2</v>
      </c>
      <c r="AP34">
        <f t="shared" si="36"/>
        <v>0.39883687271321921</v>
      </c>
      <c r="AQ34">
        <f t="shared" si="37"/>
        <v>-0.19766685944481965</v>
      </c>
      <c r="AR34">
        <f t="shared" si="38"/>
        <v>1.4331542669145392</v>
      </c>
      <c r="AS34">
        <f t="shared" si="39"/>
        <v>0.85727574123212424</v>
      </c>
      <c r="AT34">
        <f t="shared" si="40"/>
        <v>0.64359112088243886</v>
      </c>
      <c r="AU34">
        <f t="shared" si="41"/>
        <v>0.80784593787603776</v>
      </c>
      <c r="AV34">
        <f t="shared" si="42"/>
        <v>-1.190480983915926</v>
      </c>
      <c r="AW34">
        <f t="shared" si="43"/>
        <v>-1.6748141950050723</v>
      </c>
      <c r="AX34">
        <f t="shared" si="44"/>
        <v>-1.8556171117863287</v>
      </c>
      <c r="AY34">
        <f t="shared" si="45"/>
        <v>-1.4888258018153608</v>
      </c>
      <c r="AZ34">
        <f t="shared" si="46"/>
        <v>0.37566743396007013</v>
      </c>
      <c r="BA34">
        <f t="shared" si="47"/>
        <v>0.61092418098612711</v>
      </c>
      <c r="BB34">
        <f t="shared" si="48"/>
        <v>0.53770105214812391</v>
      </c>
      <c r="BC34">
        <f t="shared" si="49"/>
        <v>0.39347133912859339</v>
      </c>
      <c r="BD34" t="str">
        <f t="shared" si="50"/>
        <v>C02710</v>
      </c>
    </row>
    <row r="35" spans="1:56" x14ac:dyDescent="0.2">
      <c r="A35" t="s">
        <v>71</v>
      </c>
      <c r="B35">
        <v>39424.53125</v>
      </c>
      <c r="C35">
        <v>36898.09375</v>
      </c>
      <c r="D35">
        <v>41189.4375</v>
      </c>
      <c r="E35">
        <v>53590.945310000003</v>
      </c>
      <c r="F35">
        <v>48693.925779999998</v>
      </c>
      <c r="G35">
        <v>51041.636720000002</v>
      </c>
      <c r="H35">
        <v>38150.617189999997</v>
      </c>
      <c r="I35">
        <v>35320.714840000001</v>
      </c>
      <c r="J35">
        <v>7543823</v>
      </c>
      <c r="K35">
        <v>41022.566409999999</v>
      </c>
      <c r="L35">
        <v>37260.628909999999</v>
      </c>
      <c r="M35">
        <v>33780.058590000001</v>
      </c>
      <c r="N35">
        <v>44577.878909999999</v>
      </c>
      <c r="O35">
        <v>40014.140619999998</v>
      </c>
      <c r="P35">
        <v>32790.757810000003</v>
      </c>
      <c r="Q35">
        <v>38963.429689999997</v>
      </c>
      <c r="R35" s="2" t="s">
        <v>72</v>
      </c>
      <c r="S35" s="4" t="s">
        <v>421</v>
      </c>
      <c r="T35">
        <f t="shared" si="15"/>
        <v>4.5957665383548116</v>
      </c>
      <c r="U35">
        <f t="shared" si="16"/>
        <v>4.5670039299736729</v>
      </c>
      <c r="V35">
        <f t="shared" si="17"/>
        <v>4.6147858610917867</v>
      </c>
      <c r="W35">
        <f t="shared" si="18"/>
        <v>4.7290914177880756</v>
      </c>
      <c r="X35">
        <f t="shared" si="19"/>
        <v>4.687474789453713</v>
      </c>
      <c r="Y35">
        <f t="shared" si="20"/>
        <v>4.7079245921838666</v>
      </c>
      <c r="Z35">
        <f t="shared" si="21"/>
        <v>4.581501568242226</v>
      </c>
      <c r="AA35">
        <f t="shared" si="22"/>
        <v>4.5480294844844069</v>
      </c>
      <c r="AB35">
        <f t="shared" si="23"/>
        <v>6.8775914900387782</v>
      </c>
      <c r="AC35">
        <f t="shared" si="24"/>
        <v>4.6130228267499502</v>
      </c>
      <c r="AD35">
        <f t="shared" si="25"/>
        <v>4.5712501809369694</v>
      </c>
      <c r="AE35">
        <f t="shared" si="26"/>
        <v>4.528660398499988</v>
      </c>
      <c r="AF35">
        <f t="shared" si="27"/>
        <v>4.6491194001783631</v>
      </c>
      <c r="AG35">
        <f t="shared" si="28"/>
        <v>4.6022134940276862</v>
      </c>
      <c r="AH35">
        <f t="shared" si="29"/>
        <v>4.5157514535372618</v>
      </c>
      <c r="AI35">
        <f t="shared" si="30"/>
        <v>4.5906571779264072</v>
      </c>
      <c r="AJ35" t="str">
        <f t="shared" si="31"/>
        <v>C01197</v>
      </c>
      <c r="AL35">
        <f t="shared" si="32"/>
        <v>4.7487402877167471</v>
      </c>
      <c r="AM35">
        <f t="shared" si="33"/>
        <v>0.57093286188857029</v>
      </c>
      <c r="AN35">
        <f t="shared" si="34"/>
        <v>-0.26793649406677789</v>
      </c>
      <c r="AO35">
        <f t="shared" si="35"/>
        <v>-0.31831476146234494</v>
      </c>
      <c r="AP35">
        <f t="shared" si="36"/>
        <v>-0.23462378077495291</v>
      </c>
      <c r="AQ35">
        <f t="shared" si="37"/>
        <v>-3.4415377429275258E-2</v>
      </c>
      <c r="AR35">
        <f t="shared" si="38"/>
        <v>-0.10730771050798497</v>
      </c>
      <c r="AS35">
        <f t="shared" si="39"/>
        <v>-7.1489483715944338E-2</v>
      </c>
      <c r="AT35">
        <f t="shared" si="40"/>
        <v>-0.29292186636676953</v>
      </c>
      <c r="AU35">
        <f t="shared" si="41"/>
        <v>-0.35154887138290725</v>
      </c>
      <c r="AV35">
        <f t="shared" si="42"/>
        <v>3.7287242413759007</v>
      </c>
      <c r="AW35">
        <f t="shared" si="43"/>
        <v>-0.23771176967789423</v>
      </c>
      <c r="AX35">
        <f t="shared" si="44"/>
        <v>-0.31087737040159824</v>
      </c>
      <c r="AY35">
        <f t="shared" si="45"/>
        <v>-0.38547420179802561</v>
      </c>
      <c r="AZ35">
        <f t="shared" si="46"/>
        <v>-0.17448792001366192</v>
      </c>
      <c r="BA35">
        <f t="shared" si="47"/>
        <v>-0.25664452595068643</v>
      </c>
      <c r="BB35">
        <f t="shared" si="48"/>
        <v>-0.40808446970242529</v>
      </c>
      <c r="BC35">
        <f t="shared" si="49"/>
        <v>-0.27688563812463329</v>
      </c>
      <c r="BD35" t="str">
        <f t="shared" si="50"/>
        <v>C01197</v>
      </c>
    </row>
    <row r="36" spans="1:56" x14ac:dyDescent="0.2">
      <c r="A36" t="s">
        <v>73</v>
      </c>
      <c r="B36">
        <v>203989.9688</v>
      </c>
      <c r="C36">
        <v>170135.5</v>
      </c>
      <c r="D36">
        <v>192166.4688</v>
      </c>
      <c r="E36">
        <v>888260.25</v>
      </c>
      <c r="F36">
        <v>315492.40620000003</v>
      </c>
      <c r="G36">
        <v>221154.98439999999</v>
      </c>
      <c r="H36">
        <v>197231.3438</v>
      </c>
      <c r="I36">
        <v>201618.5938</v>
      </c>
      <c r="J36">
        <v>671858.8125</v>
      </c>
      <c r="K36">
        <v>281157.40620000003</v>
      </c>
      <c r="L36">
        <v>249719.0938</v>
      </c>
      <c r="M36">
        <v>313615.6875</v>
      </c>
      <c r="N36">
        <v>217360.4688</v>
      </c>
      <c r="O36">
        <v>225779.82810000001</v>
      </c>
      <c r="P36">
        <v>190878.20310000001</v>
      </c>
      <c r="Q36">
        <v>319191.5625</v>
      </c>
      <c r="R36" s="2" t="s">
        <v>74</v>
      </c>
      <c r="S36" s="4" t="s">
        <v>421</v>
      </c>
      <c r="T36">
        <f t="shared" si="15"/>
        <v>5.3096088115341322</v>
      </c>
      <c r="U36">
        <f t="shared" si="16"/>
        <v>5.2307949417461028</v>
      </c>
      <c r="V36">
        <f t="shared" si="17"/>
        <v>5.2836776097344078</v>
      </c>
      <c r="W36">
        <f t="shared" si="18"/>
        <v>5.9485402276927539</v>
      </c>
      <c r="X36">
        <f t="shared" si="19"/>
        <v>5.4989889103784844</v>
      </c>
      <c r="Y36">
        <f t="shared" si="20"/>
        <v>5.3446967319625589</v>
      </c>
      <c r="Z36">
        <f t="shared" si="21"/>
        <v>5.2949759337171969</v>
      </c>
      <c r="AA36">
        <f t="shared" si="22"/>
        <v>5.3045305814062687</v>
      </c>
      <c r="AB36">
        <f t="shared" si="23"/>
        <v>5.8272780180025965</v>
      </c>
      <c r="AC36">
        <f t="shared" si="24"/>
        <v>5.4489495281065903</v>
      </c>
      <c r="AD36">
        <f t="shared" si="25"/>
        <v>5.3974517502606387</v>
      </c>
      <c r="AE36">
        <f t="shared" si="26"/>
        <v>5.4963977785796336</v>
      </c>
      <c r="AF36">
        <f t="shared" si="27"/>
        <v>5.3371805620910706</v>
      </c>
      <c r="AG36">
        <f t="shared" si="28"/>
        <v>5.3536851380486672</v>
      </c>
      <c r="AH36">
        <f t="shared" si="29"/>
        <v>5.2807563379596081</v>
      </c>
      <c r="AI36">
        <f t="shared" si="30"/>
        <v>5.5040514027033707</v>
      </c>
      <c r="AJ36" t="str">
        <f t="shared" si="31"/>
        <v>C08278</v>
      </c>
      <c r="AL36">
        <f t="shared" si="32"/>
        <v>5.4288477664952532</v>
      </c>
      <c r="AM36">
        <f t="shared" si="33"/>
        <v>0.19938463673610266</v>
      </c>
      <c r="AN36">
        <f t="shared" si="34"/>
        <v>-0.59803481809353654</v>
      </c>
      <c r="AO36">
        <f t="shared" si="35"/>
        <v>-0.99332038812641843</v>
      </c>
      <c r="AP36">
        <f t="shared" si="36"/>
        <v>-0.72809098603212197</v>
      </c>
      <c r="AQ36">
        <f t="shared" si="37"/>
        <v>2.6064819722561894</v>
      </c>
      <c r="AR36">
        <f t="shared" si="38"/>
        <v>0.351788106804172</v>
      </c>
      <c r="AS36">
        <f t="shared" si="39"/>
        <v>-0.42205375454315075</v>
      </c>
      <c r="AT36">
        <f t="shared" si="40"/>
        <v>-0.6714250153347755</v>
      </c>
      <c r="AU36">
        <f t="shared" si="41"/>
        <v>-0.62350433375428882</v>
      </c>
      <c r="AV36">
        <f t="shared" si="42"/>
        <v>1.9982996585373285</v>
      </c>
      <c r="AW36">
        <f t="shared" si="43"/>
        <v>0.10081900963083179</v>
      </c>
      <c r="AX36">
        <f t="shared" si="44"/>
        <v>-0.1574645707340481</v>
      </c>
      <c r="AY36">
        <f t="shared" si="45"/>
        <v>0.33879246259974793</v>
      </c>
      <c r="AZ36">
        <f t="shared" si="46"/>
        <v>-0.45975059013954817</v>
      </c>
      <c r="BA36">
        <f t="shared" si="47"/>
        <v>-0.37697301896970242</v>
      </c>
      <c r="BB36">
        <f t="shared" si="48"/>
        <v>-0.74274242469169238</v>
      </c>
      <c r="BC36">
        <f t="shared" si="49"/>
        <v>0.37717869059116066</v>
      </c>
      <c r="BD36" t="str">
        <f t="shared" si="50"/>
        <v>C08278</v>
      </c>
    </row>
    <row r="37" spans="1:56" x14ac:dyDescent="0.2">
      <c r="A37" t="s">
        <v>75</v>
      </c>
      <c r="B37">
        <v>19725.39258</v>
      </c>
      <c r="C37">
        <v>23164.160159999999</v>
      </c>
      <c r="D37">
        <v>14610.215819999999</v>
      </c>
      <c r="E37">
        <v>26693.933590000001</v>
      </c>
      <c r="F37">
        <v>33917.171880000002</v>
      </c>
      <c r="G37">
        <v>44717.988279999998</v>
      </c>
      <c r="H37">
        <v>28295.871090000001</v>
      </c>
      <c r="I37">
        <v>39763.785159999999</v>
      </c>
      <c r="J37">
        <v>65693.828120000006</v>
      </c>
      <c r="K37">
        <v>230169.26560000001</v>
      </c>
      <c r="L37">
        <v>122706.7344</v>
      </c>
      <c r="M37">
        <v>117772.6562</v>
      </c>
      <c r="N37">
        <v>221114.35939999999</v>
      </c>
      <c r="O37">
        <v>169282.0312</v>
      </c>
      <c r="P37">
        <v>345875.84379999997</v>
      </c>
      <c r="Q37">
        <v>215971.51560000001</v>
      </c>
      <c r="R37" s="2" t="s">
        <v>360</v>
      </c>
      <c r="S37" s="4" t="s">
        <v>421</v>
      </c>
      <c r="T37">
        <f t="shared" si="15"/>
        <v>4.2950256554115507</v>
      </c>
      <c r="U37">
        <f t="shared" si="16"/>
        <v>4.3648165590399479</v>
      </c>
      <c r="V37">
        <f t="shared" si="17"/>
        <v>4.1646566313171034</v>
      </c>
      <c r="W37">
        <f t="shared" si="18"/>
        <v>4.4264125756816837</v>
      </c>
      <c r="X37">
        <f t="shared" si="19"/>
        <v>4.5304196322605064</v>
      </c>
      <c r="Y37">
        <f t="shared" si="20"/>
        <v>4.6504822577910039</v>
      </c>
      <c r="Z37">
        <f t="shared" si="21"/>
        <v>4.4517230682574587</v>
      </c>
      <c r="AA37">
        <f t="shared" si="22"/>
        <v>4.5994877186794385</v>
      </c>
      <c r="AB37">
        <f t="shared" si="23"/>
        <v>4.817524569874327</v>
      </c>
      <c r="AC37">
        <f t="shared" si="24"/>
        <v>5.3620473320155515</v>
      </c>
      <c r="AD37">
        <f t="shared" si="25"/>
        <v>5.0888683983627034</v>
      </c>
      <c r="AE37">
        <f t="shared" si="26"/>
        <v>5.0710444700783013</v>
      </c>
      <c r="AF37">
        <f t="shared" si="27"/>
        <v>5.3446169470368146</v>
      </c>
      <c r="AG37">
        <f t="shared" si="28"/>
        <v>5.2286108614471241</v>
      </c>
      <c r="AH37">
        <f t="shared" si="29"/>
        <v>5.5389202316567401</v>
      </c>
      <c r="AI37">
        <f t="shared" si="30"/>
        <v>5.3343964759959199</v>
      </c>
      <c r="AJ37" t="str">
        <f t="shared" si="31"/>
        <v>C00715</v>
      </c>
      <c r="AL37">
        <f t="shared" si="32"/>
        <v>4.8293158365566367</v>
      </c>
      <c r="AM37">
        <f t="shared" si="33"/>
        <v>0.44836033660177466</v>
      </c>
      <c r="AN37">
        <f t="shared" si="34"/>
        <v>-1.1916535374083115</v>
      </c>
      <c r="AO37">
        <f t="shared" si="35"/>
        <v>-1.0359954697091067</v>
      </c>
      <c r="AP37">
        <f t="shared" si="36"/>
        <v>-1.4824219516764956</v>
      </c>
      <c r="AQ37">
        <f t="shared" si="37"/>
        <v>-0.8986148594870117</v>
      </c>
      <c r="AR37">
        <f t="shared" si="38"/>
        <v>-0.66664283143672531</v>
      </c>
      <c r="AS37">
        <f t="shared" si="39"/>
        <v>-0.39886128224689382</v>
      </c>
      <c r="AT37">
        <f t="shared" si="40"/>
        <v>-0.84216362928317834</v>
      </c>
      <c r="AU37">
        <f t="shared" si="41"/>
        <v>-0.51259689833208244</v>
      </c>
      <c r="AV37">
        <f t="shared" si="42"/>
        <v>-2.6298639107282275E-2</v>
      </c>
      <c r="AW37">
        <f t="shared" si="43"/>
        <v>1.1881771244455039</v>
      </c>
      <c r="AX37">
        <f t="shared" si="44"/>
        <v>0.57889278024295121</v>
      </c>
      <c r="AY37">
        <f t="shared" si="45"/>
        <v>0.53913920074594712</v>
      </c>
      <c r="AZ37">
        <f t="shared" si="46"/>
        <v>1.1493012838418373</v>
      </c>
      <c r="BA37">
        <f t="shared" si="47"/>
        <v>0.89056723419568184</v>
      </c>
      <c r="BB37">
        <f t="shared" si="48"/>
        <v>1.582665408091976</v>
      </c>
      <c r="BC37">
        <f t="shared" si="49"/>
        <v>1.1265060671231641</v>
      </c>
      <c r="BD37" t="str">
        <f t="shared" si="50"/>
        <v>C00715</v>
      </c>
    </row>
    <row r="38" spans="1:56" x14ac:dyDescent="0.2">
      <c r="A38" t="s">
        <v>76</v>
      </c>
      <c r="B38">
        <v>473677.34379999997</v>
      </c>
      <c r="C38">
        <v>278071.3125</v>
      </c>
      <c r="D38">
        <v>683932.625</v>
      </c>
      <c r="E38">
        <v>459513.3125</v>
      </c>
      <c r="F38">
        <v>437744.9375</v>
      </c>
      <c r="G38">
        <v>521732.4375</v>
      </c>
      <c r="H38">
        <v>585341.625</v>
      </c>
      <c r="I38">
        <v>883404.75</v>
      </c>
      <c r="J38">
        <v>143993.125</v>
      </c>
      <c r="K38">
        <v>137874.0312</v>
      </c>
      <c r="L38">
        <v>68779.226559999996</v>
      </c>
      <c r="M38">
        <v>100371.5625</v>
      </c>
      <c r="N38">
        <v>183976</v>
      </c>
      <c r="O38">
        <v>298526.71879999997</v>
      </c>
      <c r="P38">
        <v>216480.1875</v>
      </c>
      <c r="Q38">
        <v>151946.48439999999</v>
      </c>
      <c r="R38" s="2" t="s">
        <v>361</v>
      </c>
      <c r="S38" s="4" t="s">
        <v>421</v>
      </c>
      <c r="T38">
        <f t="shared" si="15"/>
        <v>5.675482612724684</v>
      </c>
      <c r="U38">
        <f t="shared" si="16"/>
        <v>5.4441561867584749</v>
      </c>
      <c r="V38">
        <f t="shared" si="17"/>
        <v>5.8350133209716972</v>
      </c>
      <c r="W38">
        <f t="shared" si="18"/>
        <v>5.6622980977929487</v>
      </c>
      <c r="X38">
        <f t="shared" si="19"/>
        <v>5.6412211321888863</v>
      </c>
      <c r="Y38">
        <f t="shared" si="20"/>
        <v>5.7174478388103971</v>
      </c>
      <c r="Z38">
        <f t="shared" si="21"/>
        <v>5.7674094088998071</v>
      </c>
      <c r="AA38">
        <f t="shared" si="22"/>
        <v>5.9461597300969737</v>
      </c>
      <c r="AB38">
        <f t="shared" si="23"/>
        <v>5.1583417570546919</v>
      </c>
      <c r="AC38">
        <f t="shared" si="24"/>
        <v>5.1394824738002161</v>
      </c>
      <c r="AD38">
        <f t="shared" si="25"/>
        <v>4.8374572877608895</v>
      </c>
      <c r="AE38">
        <f t="shared" si="26"/>
        <v>5.0016106849333601</v>
      </c>
      <c r="AF38">
        <f t="shared" si="27"/>
        <v>5.2647611722085035</v>
      </c>
      <c r="AG38">
        <f t="shared" si="28"/>
        <v>5.4749832075193359</v>
      </c>
      <c r="AH38">
        <f t="shared" si="29"/>
        <v>5.3354181554092204</v>
      </c>
      <c r="AI38">
        <f t="shared" si="30"/>
        <v>5.1816906562202174</v>
      </c>
      <c r="AJ38" t="str">
        <f t="shared" si="31"/>
        <v>C03519</v>
      </c>
      <c r="AL38">
        <f t="shared" si="32"/>
        <v>5.4426833576968932</v>
      </c>
      <c r="AM38">
        <f t="shared" si="33"/>
        <v>0.32415495768415692</v>
      </c>
      <c r="AN38">
        <f t="shared" si="34"/>
        <v>0.71817274272454834</v>
      </c>
      <c r="AO38">
        <f t="shared" si="35"/>
        <v>4.5435956682692846E-3</v>
      </c>
      <c r="AP38">
        <f t="shared" si="36"/>
        <v>1.2103160972076634</v>
      </c>
      <c r="AQ38">
        <f t="shared" si="37"/>
        <v>0.67749924809121376</v>
      </c>
      <c r="AR38">
        <f t="shared" si="38"/>
        <v>0.61247798247602336</v>
      </c>
      <c r="AS38">
        <f t="shared" si="39"/>
        <v>0.84763312915677502</v>
      </c>
      <c r="AT38">
        <f t="shared" si="40"/>
        <v>1.0017617917147932</v>
      </c>
      <c r="AU38">
        <f t="shared" si="41"/>
        <v>1.5531965822674443</v>
      </c>
      <c r="AV38">
        <f t="shared" si="42"/>
        <v>-0.87717800978151894</v>
      </c>
      <c r="AW38">
        <f t="shared" si="43"/>
        <v>-0.93535784879805361</v>
      </c>
      <c r="AX38">
        <f t="shared" si="44"/>
        <v>-1.8670887351527437</v>
      </c>
      <c r="AY38">
        <f t="shared" si="45"/>
        <v>-1.3606846426618464</v>
      </c>
      <c r="AZ38">
        <f t="shared" si="46"/>
        <v>-0.54888003799019369</v>
      </c>
      <c r="BA38">
        <f t="shared" si="47"/>
        <v>9.9643238694236927E-2</v>
      </c>
      <c r="BB38">
        <f t="shared" si="48"/>
        <v>-0.33090717801758107</v>
      </c>
      <c r="BC38">
        <f t="shared" si="49"/>
        <v>-0.805147955598989</v>
      </c>
      <c r="BD38" t="str">
        <f t="shared" si="50"/>
        <v>C03519</v>
      </c>
    </row>
    <row r="39" spans="1:56" x14ac:dyDescent="0.2">
      <c r="A39" t="s">
        <v>77</v>
      </c>
      <c r="B39">
        <v>436747.96879999997</v>
      </c>
      <c r="C39">
        <v>2129855</v>
      </c>
      <c r="D39">
        <v>1148746.625</v>
      </c>
      <c r="E39">
        <v>3593291.25</v>
      </c>
      <c r="F39">
        <v>280082.40620000003</v>
      </c>
      <c r="G39">
        <v>376372.0625</v>
      </c>
      <c r="H39">
        <v>545358.4375</v>
      </c>
      <c r="I39">
        <v>446905.59379999997</v>
      </c>
      <c r="J39">
        <v>9329406</v>
      </c>
      <c r="K39">
        <v>2764232</v>
      </c>
      <c r="L39">
        <v>2400503.75</v>
      </c>
      <c r="M39">
        <v>3416417.5</v>
      </c>
      <c r="N39">
        <v>674366.5</v>
      </c>
      <c r="O39">
        <v>686380.5625</v>
      </c>
      <c r="P39">
        <v>657014.125</v>
      </c>
      <c r="Q39">
        <v>519392.25</v>
      </c>
      <c r="R39" s="2" t="s">
        <v>362</v>
      </c>
      <c r="S39" s="4" t="s">
        <v>421</v>
      </c>
      <c r="T39">
        <f t="shared" si="15"/>
        <v>5.6402308938701875</v>
      </c>
      <c r="U39">
        <f t="shared" si="16"/>
        <v>6.3283500377845545</v>
      </c>
      <c r="V39">
        <f t="shared" si="17"/>
        <v>6.0602242484455022</v>
      </c>
      <c r="W39">
        <f t="shared" si="18"/>
        <v>6.55549241986024</v>
      </c>
      <c r="X39">
        <f t="shared" si="19"/>
        <v>5.4472858288155797</v>
      </c>
      <c r="Y39">
        <f t="shared" si="20"/>
        <v>5.5756173789624786</v>
      </c>
      <c r="Z39">
        <f t="shared" si="21"/>
        <v>5.7366820367002065</v>
      </c>
      <c r="AA39">
        <f t="shared" si="22"/>
        <v>5.6502157906444026</v>
      </c>
      <c r="AB39">
        <f t="shared" si="23"/>
        <v>6.9698539932497656</v>
      </c>
      <c r="AC39">
        <f t="shared" si="24"/>
        <v>6.4415744902547951</v>
      </c>
      <c r="AD39">
        <f t="shared" si="25"/>
        <v>6.38030238874844</v>
      </c>
      <c r="AE39">
        <f t="shared" si="26"/>
        <v>6.5335709377976618</v>
      </c>
      <c r="AF39">
        <f t="shared" si="27"/>
        <v>5.8288959880305287</v>
      </c>
      <c r="AG39">
        <f t="shared" si="28"/>
        <v>5.836564976299683</v>
      </c>
      <c r="AH39">
        <f t="shared" si="29"/>
        <v>5.8175747064602605</v>
      </c>
      <c r="AI39">
        <f t="shared" si="30"/>
        <v>5.715495465109715</v>
      </c>
      <c r="AJ39" t="str">
        <f t="shared" si="31"/>
        <v>C00196</v>
      </c>
      <c r="AL39">
        <f t="shared" si="32"/>
        <v>6.0323707238146254</v>
      </c>
      <c r="AM39">
        <f t="shared" si="33"/>
        <v>0.44310280911403194</v>
      </c>
      <c r="AN39">
        <f t="shared" si="34"/>
        <v>-0.88498610678751344</v>
      </c>
      <c r="AO39">
        <f t="shared" si="35"/>
        <v>0.66796984330054032</v>
      </c>
      <c r="AP39">
        <f t="shared" si="36"/>
        <v>6.286018517140296E-2</v>
      </c>
      <c r="AQ39">
        <f t="shared" si="37"/>
        <v>1.1805876317768726</v>
      </c>
      <c r="AR39">
        <f t="shared" si="38"/>
        <v>-1.3204269595331652</v>
      </c>
      <c r="AS39">
        <f t="shared" si="39"/>
        <v>-1.0308067009672284</v>
      </c>
      <c r="AT39">
        <f t="shared" si="40"/>
        <v>-0.66731395295289986</v>
      </c>
      <c r="AU39">
        <f t="shared" si="41"/>
        <v>-0.86245206599869617</v>
      </c>
      <c r="AV39">
        <f t="shared" si="42"/>
        <v>2.1157240490296241</v>
      </c>
      <c r="AW39">
        <f t="shared" si="43"/>
        <v>0.92349621357255196</v>
      </c>
      <c r="AX39">
        <f t="shared" si="44"/>
        <v>0.78521656323843092</v>
      </c>
      <c r="AY39">
        <f t="shared" si="45"/>
        <v>1.1311149549811437</v>
      </c>
      <c r="AZ39">
        <f t="shared" si="46"/>
        <v>-0.45920434625755835</v>
      </c>
      <c r="BA39">
        <f t="shared" si="47"/>
        <v>-0.4418968769492771</v>
      </c>
      <c r="BB39">
        <f t="shared" si="48"/>
        <v>-0.48475435708440145</v>
      </c>
      <c r="BC39">
        <f t="shared" si="49"/>
        <v>-0.71512807453983651</v>
      </c>
      <c r="BD39" t="str">
        <f t="shared" si="50"/>
        <v>C00196</v>
      </c>
    </row>
    <row r="40" spans="1:56" x14ac:dyDescent="0.2">
      <c r="A40" t="s">
        <v>78</v>
      </c>
      <c r="B40">
        <v>436747.96879999997</v>
      </c>
      <c r="C40">
        <v>2129855</v>
      </c>
      <c r="D40">
        <v>1148746.625</v>
      </c>
      <c r="E40">
        <v>3593291.25</v>
      </c>
      <c r="F40">
        <v>280082.40620000003</v>
      </c>
      <c r="G40">
        <v>376372.0625</v>
      </c>
      <c r="H40">
        <v>545358.4375</v>
      </c>
      <c r="I40">
        <v>446905.59379999997</v>
      </c>
      <c r="J40">
        <v>9329406</v>
      </c>
      <c r="K40">
        <v>2764232</v>
      </c>
      <c r="L40">
        <v>2400503.75</v>
      </c>
      <c r="M40">
        <v>3416417.5</v>
      </c>
      <c r="N40">
        <v>674366.5</v>
      </c>
      <c r="O40">
        <v>686380.5625</v>
      </c>
      <c r="P40">
        <v>657014.125</v>
      </c>
      <c r="Q40">
        <v>519392.25</v>
      </c>
      <c r="R40" s="2" t="s">
        <v>363</v>
      </c>
      <c r="S40" s="4" t="s">
        <v>421</v>
      </c>
      <c r="T40">
        <f t="shared" si="15"/>
        <v>5.6402308938701875</v>
      </c>
      <c r="U40">
        <f t="shared" si="16"/>
        <v>6.3283500377845545</v>
      </c>
      <c r="V40">
        <f t="shared" si="17"/>
        <v>6.0602242484455022</v>
      </c>
      <c r="W40">
        <f t="shared" si="18"/>
        <v>6.55549241986024</v>
      </c>
      <c r="X40">
        <f t="shared" si="19"/>
        <v>5.4472858288155797</v>
      </c>
      <c r="Y40">
        <f t="shared" si="20"/>
        <v>5.5756173789624786</v>
      </c>
      <c r="Z40">
        <f t="shared" si="21"/>
        <v>5.7366820367002065</v>
      </c>
      <c r="AA40">
        <f t="shared" si="22"/>
        <v>5.6502157906444026</v>
      </c>
      <c r="AB40">
        <f t="shared" si="23"/>
        <v>6.9698539932497656</v>
      </c>
      <c r="AC40">
        <f t="shared" si="24"/>
        <v>6.4415744902547951</v>
      </c>
      <c r="AD40">
        <f t="shared" si="25"/>
        <v>6.38030238874844</v>
      </c>
      <c r="AE40">
        <f t="shared" si="26"/>
        <v>6.5335709377976618</v>
      </c>
      <c r="AF40">
        <f t="shared" si="27"/>
        <v>5.8288959880305287</v>
      </c>
      <c r="AG40">
        <f t="shared" si="28"/>
        <v>5.836564976299683</v>
      </c>
      <c r="AH40">
        <f t="shared" si="29"/>
        <v>5.8175747064602605</v>
      </c>
      <c r="AI40">
        <f t="shared" si="30"/>
        <v>5.715495465109715</v>
      </c>
      <c r="AJ40" t="str">
        <f t="shared" si="31"/>
        <v>C00230</v>
      </c>
      <c r="AL40">
        <f t="shared" si="32"/>
        <v>6.0323707238146254</v>
      </c>
      <c r="AM40">
        <f t="shared" si="33"/>
        <v>0.44310280911403194</v>
      </c>
      <c r="AN40">
        <f t="shared" si="34"/>
        <v>-0.88498610678751344</v>
      </c>
      <c r="AO40">
        <f t="shared" si="35"/>
        <v>0.66796984330054032</v>
      </c>
      <c r="AP40">
        <f t="shared" si="36"/>
        <v>6.286018517140296E-2</v>
      </c>
      <c r="AQ40">
        <f t="shared" si="37"/>
        <v>1.1805876317768726</v>
      </c>
      <c r="AR40">
        <f t="shared" si="38"/>
        <v>-1.3204269595331652</v>
      </c>
      <c r="AS40">
        <f t="shared" si="39"/>
        <v>-1.0308067009672284</v>
      </c>
      <c r="AT40">
        <f t="shared" si="40"/>
        <v>-0.66731395295289986</v>
      </c>
      <c r="AU40">
        <f t="shared" si="41"/>
        <v>-0.86245206599869617</v>
      </c>
      <c r="AV40">
        <f t="shared" si="42"/>
        <v>2.1157240490296241</v>
      </c>
      <c r="AW40">
        <f t="shared" si="43"/>
        <v>0.92349621357255196</v>
      </c>
      <c r="AX40">
        <f t="shared" si="44"/>
        <v>0.78521656323843092</v>
      </c>
      <c r="AY40">
        <f t="shared" si="45"/>
        <v>1.1311149549811437</v>
      </c>
      <c r="AZ40">
        <f t="shared" si="46"/>
        <v>-0.45920434625755835</v>
      </c>
      <c r="BA40">
        <f t="shared" si="47"/>
        <v>-0.4418968769492771</v>
      </c>
      <c r="BB40">
        <f t="shared" si="48"/>
        <v>-0.48475435708440145</v>
      </c>
      <c r="BC40">
        <f t="shared" si="49"/>
        <v>-0.71512807453983651</v>
      </c>
      <c r="BD40" t="str">
        <f t="shared" si="50"/>
        <v>C00230</v>
      </c>
    </row>
    <row r="41" spans="1:56" x14ac:dyDescent="0.2">
      <c r="A41" t="s">
        <v>79</v>
      </c>
      <c r="B41">
        <v>510132.4375</v>
      </c>
      <c r="C41">
        <v>449754.75</v>
      </c>
      <c r="D41">
        <v>383514</v>
      </c>
      <c r="E41">
        <v>332270.375</v>
      </c>
      <c r="F41">
        <v>1556628.25</v>
      </c>
      <c r="G41">
        <v>530655</v>
      </c>
      <c r="H41">
        <v>423358.53120000003</v>
      </c>
      <c r="I41">
        <v>408433.78120000003</v>
      </c>
      <c r="J41">
        <v>1557759.75</v>
      </c>
      <c r="K41">
        <v>1302027</v>
      </c>
      <c r="L41">
        <v>1351780.375</v>
      </c>
      <c r="M41">
        <v>1189879.625</v>
      </c>
      <c r="N41">
        <v>1141889.75</v>
      </c>
      <c r="O41">
        <v>902869.5625</v>
      </c>
      <c r="P41">
        <v>848901.6875</v>
      </c>
      <c r="Q41">
        <v>2428510.5</v>
      </c>
      <c r="R41" s="2" t="s">
        <v>364</v>
      </c>
      <c r="S41" s="4" t="s">
        <v>421</v>
      </c>
      <c r="T41">
        <f t="shared" si="15"/>
        <v>5.7076829396444246</v>
      </c>
      <c r="U41">
        <f t="shared" si="16"/>
        <v>5.6529757587611034</v>
      </c>
      <c r="V41">
        <f t="shared" si="17"/>
        <v>5.5837812222922212</v>
      </c>
      <c r="W41">
        <f t="shared" si="18"/>
        <v>5.5214916216050121</v>
      </c>
      <c r="X41">
        <f t="shared" si="19"/>
        <v>6.1921849078471638</v>
      </c>
      <c r="Y41">
        <f t="shared" si="20"/>
        <v>5.7248122606455825</v>
      </c>
      <c r="Z41">
        <f t="shared" si="21"/>
        <v>5.6267083157688358</v>
      </c>
      <c r="AA41">
        <f t="shared" si="22"/>
        <v>5.6111216550163006</v>
      </c>
      <c r="AB41">
        <f t="shared" si="23"/>
        <v>6.1925004781793733</v>
      </c>
      <c r="AC41">
        <f t="shared" si="24"/>
        <v>6.1146199902455605</v>
      </c>
      <c r="AD41">
        <f t="shared" si="25"/>
        <v>6.1309061371133371</v>
      </c>
      <c r="AE41">
        <f t="shared" si="26"/>
        <v>6.0755030279113962</v>
      </c>
      <c r="AF41">
        <f t="shared" si="27"/>
        <v>6.0576241745945749</v>
      </c>
      <c r="AG41">
        <f t="shared" si="28"/>
        <v>5.9556250123530701</v>
      </c>
      <c r="AH41">
        <f t="shared" si="29"/>
        <v>5.92885739690057</v>
      </c>
      <c r="AI41">
        <f t="shared" si="30"/>
        <v>6.3853399855451896</v>
      </c>
      <c r="AJ41" t="str">
        <f t="shared" si="31"/>
        <v>C06255</v>
      </c>
      <c r="AL41">
        <f t="shared" si="32"/>
        <v>5.9038584302764825</v>
      </c>
      <c r="AM41">
        <f t="shared" si="33"/>
        <v>0.27022185244995844</v>
      </c>
      <c r="AN41">
        <f t="shared" si="34"/>
        <v>-0.72597937159204029</v>
      </c>
      <c r="AO41">
        <f t="shared" si="35"/>
        <v>-0.92843220946329397</v>
      </c>
      <c r="AP41">
        <f t="shared" si="36"/>
        <v>-1.1844978675199314</v>
      </c>
      <c r="AQ41">
        <f t="shared" si="37"/>
        <v>-1.4150106854969464</v>
      </c>
      <c r="AR41">
        <f t="shared" si="38"/>
        <v>1.0669991155658871</v>
      </c>
      <c r="AS41">
        <f t="shared" si="39"/>
        <v>-0.66258952785492076</v>
      </c>
      <c r="AT41">
        <f t="shared" si="40"/>
        <v>-1.0256391627652368</v>
      </c>
      <c r="AU41">
        <f t="shared" si="41"/>
        <v>-1.0833201408623789</v>
      </c>
      <c r="AV41">
        <f t="shared" si="42"/>
        <v>1.0681669350051679</v>
      </c>
      <c r="AW41">
        <f t="shared" si="43"/>
        <v>0.77995749810096593</v>
      </c>
      <c r="AX41">
        <f t="shared" si="44"/>
        <v>0.84022703855492542</v>
      </c>
      <c r="AY41">
        <f t="shared" si="45"/>
        <v>0.63519880453302724</v>
      </c>
      <c r="AZ41">
        <f t="shared" si="46"/>
        <v>0.56903519431896366</v>
      </c>
      <c r="BA41">
        <f t="shared" si="47"/>
        <v>0.19157067279069914</v>
      </c>
      <c r="BB41">
        <f t="shared" si="48"/>
        <v>9.2512749792198978E-2</v>
      </c>
      <c r="BC41">
        <f t="shared" si="49"/>
        <v>1.7818009568928965</v>
      </c>
      <c r="BD41" t="str">
        <f t="shared" si="50"/>
        <v>C06255</v>
      </c>
    </row>
    <row r="42" spans="1:56" x14ac:dyDescent="0.2">
      <c r="A42" t="s">
        <v>80</v>
      </c>
      <c r="B42">
        <v>14206789</v>
      </c>
      <c r="C42">
        <v>10651904</v>
      </c>
      <c r="D42">
        <v>16368102</v>
      </c>
      <c r="E42">
        <v>9426487</v>
      </c>
      <c r="F42">
        <v>14246720</v>
      </c>
      <c r="G42">
        <v>9280588</v>
      </c>
      <c r="H42">
        <v>12422967</v>
      </c>
      <c r="I42">
        <v>13367594</v>
      </c>
      <c r="J42">
        <v>4853427</v>
      </c>
      <c r="K42">
        <v>3439863</v>
      </c>
      <c r="L42">
        <v>3899390.5</v>
      </c>
      <c r="M42">
        <v>5239411</v>
      </c>
      <c r="N42">
        <v>9662780</v>
      </c>
      <c r="O42">
        <v>15675675</v>
      </c>
      <c r="P42">
        <v>13593504</v>
      </c>
      <c r="Q42">
        <v>6827668</v>
      </c>
      <c r="R42" s="2" t="s">
        <v>365</v>
      </c>
      <c r="S42" s="4" t="s">
        <v>421</v>
      </c>
      <c r="T42">
        <f t="shared" si="15"/>
        <v>7.1524959303438473</v>
      </c>
      <c r="U42">
        <f t="shared" si="16"/>
        <v>7.0274272437171348</v>
      </c>
      <c r="V42">
        <f t="shared" si="17"/>
        <v>7.2139983227402213</v>
      </c>
      <c r="W42">
        <f t="shared" si="18"/>
        <v>6.974349872931489</v>
      </c>
      <c r="X42">
        <f t="shared" si="19"/>
        <v>7.1537148889152915</v>
      </c>
      <c r="Y42">
        <f t="shared" si="20"/>
        <v>6.9675754931440199</v>
      </c>
      <c r="Z42">
        <f t="shared" si="21"/>
        <v>7.0942253315766299</v>
      </c>
      <c r="AA42">
        <f t="shared" si="22"/>
        <v>7.1260532467119901</v>
      </c>
      <c r="AB42">
        <f t="shared" si="23"/>
        <v>6.6860485018213538</v>
      </c>
      <c r="AC42">
        <f t="shared" si="24"/>
        <v>6.5365411461968703</v>
      </c>
      <c r="AD42">
        <f t="shared" si="25"/>
        <v>6.5909967292898326</v>
      </c>
      <c r="AE42">
        <f t="shared" si="26"/>
        <v>6.7192824675510101</v>
      </c>
      <c r="AF42">
        <f t="shared" si="27"/>
        <v>6.9851020917329087</v>
      </c>
      <c r="AG42">
        <f t="shared" si="28"/>
        <v>7.1952262507763525</v>
      </c>
      <c r="AH42">
        <f t="shared" si="29"/>
        <v>7.1333314193310624</v>
      </c>
      <c r="AI42">
        <f t="shared" si="30"/>
        <v>6.8342723950915678</v>
      </c>
      <c r="AJ42" t="str">
        <f t="shared" si="31"/>
        <v>C02712</v>
      </c>
      <c r="AL42">
        <f t="shared" si="32"/>
        <v>6.9619150832419736</v>
      </c>
      <c r="AM42">
        <f t="shared" si="33"/>
        <v>0.22206971176247828</v>
      </c>
      <c r="AN42">
        <f t="shared" si="34"/>
        <v>0.85820279402044497</v>
      </c>
      <c r="AO42">
        <f t="shared" si="35"/>
        <v>0.29500718470437692</v>
      </c>
      <c r="AP42">
        <f t="shared" si="36"/>
        <v>1.1351536303513168</v>
      </c>
      <c r="AQ42">
        <f t="shared" si="37"/>
        <v>5.5994982795381912E-2</v>
      </c>
      <c r="AR42">
        <f t="shared" si="38"/>
        <v>0.86369187473194664</v>
      </c>
      <c r="AS42">
        <f t="shared" si="39"/>
        <v>2.5489337817039073E-2</v>
      </c>
      <c r="AT42">
        <f t="shared" si="40"/>
        <v>0.5958050167425486</v>
      </c>
      <c r="AU42">
        <f t="shared" si="41"/>
        <v>0.73912899767968232</v>
      </c>
      <c r="AV42">
        <f t="shared" si="42"/>
        <v>-1.2422521704161156</v>
      </c>
      <c r="AW42">
        <f t="shared" si="43"/>
        <v>-1.9154973168969369</v>
      </c>
      <c r="AX42">
        <f t="shared" si="44"/>
        <v>-1.6702789002980674</v>
      </c>
      <c r="AY42">
        <f t="shared" si="45"/>
        <v>-1.0925966164646483</v>
      </c>
      <c r="AZ42">
        <f t="shared" si="46"/>
        <v>0.10441319668003864</v>
      </c>
      <c r="BA42">
        <f t="shared" si="47"/>
        <v>1.0506212922180231</v>
      </c>
      <c r="BB42">
        <f t="shared" si="48"/>
        <v>0.77190326735071635</v>
      </c>
      <c r="BC42">
        <f t="shared" si="49"/>
        <v>-0.57478657101572728</v>
      </c>
      <c r="BD42" t="str">
        <f t="shared" si="50"/>
        <v>C02712</v>
      </c>
    </row>
    <row r="43" spans="1:56" x14ac:dyDescent="0.2">
      <c r="A43" t="s">
        <v>81</v>
      </c>
      <c r="B43">
        <v>2162295.5</v>
      </c>
      <c r="C43">
        <v>1349787.625</v>
      </c>
      <c r="D43">
        <v>1738360.125</v>
      </c>
      <c r="E43">
        <v>855522.75</v>
      </c>
      <c r="F43">
        <v>935144.9375</v>
      </c>
      <c r="G43">
        <v>709115.625</v>
      </c>
      <c r="H43">
        <v>570798.9375</v>
      </c>
      <c r="I43">
        <v>588688.25</v>
      </c>
      <c r="J43">
        <v>306562.9375</v>
      </c>
      <c r="K43">
        <v>143494.3125</v>
      </c>
      <c r="L43">
        <v>147924.3438</v>
      </c>
      <c r="M43">
        <v>183832.67189999999</v>
      </c>
      <c r="N43">
        <v>224072.7188</v>
      </c>
      <c r="O43">
        <v>304009.6875</v>
      </c>
      <c r="P43">
        <v>274349.5</v>
      </c>
      <c r="Q43">
        <v>183329.32810000001</v>
      </c>
      <c r="R43" s="2" t="s">
        <v>366</v>
      </c>
      <c r="S43" s="4" t="s">
        <v>421</v>
      </c>
      <c r="T43">
        <f t="shared" si="15"/>
        <v>6.3349150444969951</v>
      </c>
      <c r="U43">
        <f t="shared" si="16"/>
        <v>6.1302654421644975</v>
      </c>
      <c r="V43">
        <f t="shared" si="17"/>
        <v>6.240139751456117</v>
      </c>
      <c r="W43">
        <f t="shared" si="18"/>
        <v>5.9322315627585862</v>
      </c>
      <c r="X43">
        <f t="shared" si="19"/>
        <v>5.9708789271059652</v>
      </c>
      <c r="Y43">
        <f t="shared" si="20"/>
        <v>5.8507170549366831</v>
      </c>
      <c r="Z43">
        <f t="shared" si="21"/>
        <v>5.7564831560363086</v>
      </c>
      <c r="AA43">
        <f t="shared" si="22"/>
        <v>5.769885367541252</v>
      </c>
      <c r="AB43">
        <f t="shared" si="23"/>
        <v>5.4865196488478514</v>
      </c>
      <c r="AC43">
        <f t="shared" si="24"/>
        <v>5.1568346878378417</v>
      </c>
      <c r="AD43">
        <f t="shared" si="25"/>
        <v>5.1700396514006561</v>
      </c>
      <c r="AE43">
        <f t="shared" si="26"/>
        <v>5.2644226994598275</v>
      </c>
      <c r="AF43">
        <f t="shared" si="27"/>
        <v>5.3503889837289424</v>
      </c>
      <c r="AG43">
        <f t="shared" si="28"/>
        <v>5.4828874229533575</v>
      </c>
      <c r="AH43">
        <f t="shared" si="29"/>
        <v>5.4383041730342345</v>
      </c>
      <c r="AI43">
        <f t="shared" si="30"/>
        <v>5.2632319467578377</v>
      </c>
      <c r="AJ43" t="str">
        <f t="shared" si="31"/>
        <v>C00255</v>
      </c>
      <c r="AL43">
        <f t="shared" si="32"/>
        <v>5.6623840950323103</v>
      </c>
      <c r="AM43">
        <f t="shared" si="33"/>
        <v>0.38775066672560554</v>
      </c>
      <c r="AN43">
        <f t="shared" si="34"/>
        <v>1.7344417616194736</v>
      </c>
      <c r="AO43">
        <f t="shared" si="35"/>
        <v>1.2066551711780464</v>
      </c>
      <c r="AP43">
        <f t="shared" si="36"/>
        <v>1.4900184732181505</v>
      </c>
      <c r="AQ43">
        <f t="shared" si="37"/>
        <v>0.6959303771287525</v>
      </c>
      <c r="AR43">
        <f t="shared" si="38"/>
        <v>0.79560103578613173</v>
      </c>
      <c r="AS43">
        <f t="shared" si="39"/>
        <v>0.48570634705741966</v>
      </c>
      <c r="AT43">
        <f t="shared" si="40"/>
        <v>0.24267930162087403</v>
      </c>
      <c r="AU43">
        <f t="shared" si="41"/>
        <v>0.27724329507089079</v>
      </c>
      <c r="AV43">
        <f t="shared" si="42"/>
        <v>-0.45355033859660815</v>
      </c>
      <c r="AW43">
        <f t="shared" si="43"/>
        <v>-1.3038002267375188</v>
      </c>
      <c r="AX43">
        <f t="shared" si="44"/>
        <v>-1.2697449311674947</v>
      </c>
      <c r="AY43">
        <f t="shared" si="45"/>
        <v>-1.0263332335005446</v>
      </c>
      <c r="AZ43">
        <f t="shared" si="46"/>
        <v>-0.80462817495076899</v>
      </c>
      <c r="BA43">
        <f t="shared" si="47"/>
        <v>-0.46291776515751265</v>
      </c>
      <c r="BB43">
        <f t="shared" si="48"/>
        <v>-0.57789693539494935</v>
      </c>
      <c r="BC43">
        <f t="shared" si="49"/>
        <v>-1.0294041571743717</v>
      </c>
      <c r="BD43" t="str">
        <f t="shared" si="50"/>
        <v>C00255</v>
      </c>
    </row>
    <row r="44" spans="1:56" x14ac:dyDescent="0.2">
      <c r="A44" t="s">
        <v>82</v>
      </c>
      <c r="B44">
        <v>67424.289059999996</v>
      </c>
      <c r="C44">
        <v>81992.648440000004</v>
      </c>
      <c r="D44">
        <v>139274.92189999999</v>
      </c>
      <c r="E44">
        <v>101251.9688</v>
      </c>
      <c r="F44">
        <v>58737.769529999998</v>
      </c>
      <c r="G44">
        <v>159884.07810000001</v>
      </c>
      <c r="H44">
        <v>85297.101559999996</v>
      </c>
      <c r="I44">
        <v>114428.3594</v>
      </c>
      <c r="J44">
        <v>47604.507810000003</v>
      </c>
      <c r="K44">
        <v>65095.59375</v>
      </c>
      <c r="L44">
        <v>96492.914059999996</v>
      </c>
      <c r="M44">
        <v>69923.859379999994</v>
      </c>
      <c r="N44">
        <v>81115.828120000006</v>
      </c>
      <c r="O44">
        <v>87672.96875</v>
      </c>
      <c r="P44">
        <v>87637.359379999994</v>
      </c>
      <c r="Q44">
        <v>192593.4062</v>
      </c>
      <c r="R44" s="2" t="s">
        <v>83</v>
      </c>
      <c r="S44" s="4" t="s">
        <v>421</v>
      </c>
      <c r="T44">
        <f t="shared" si="15"/>
        <v>4.828816375830205</v>
      </c>
      <c r="U44">
        <f t="shared" si="16"/>
        <v>4.913774914760916</v>
      </c>
      <c r="V44">
        <f t="shared" si="17"/>
        <v>5.1438729235959677</v>
      </c>
      <c r="W44">
        <f t="shared" si="18"/>
        <v>5.0054034766339948</v>
      </c>
      <c r="X44">
        <f t="shared" si="19"/>
        <v>4.7689174508826468</v>
      </c>
      <c r="Y44">
        <f t="shared" si="20"/>
        <v>5.2038052171070763</v>
      </c>
      <c r="Z44">
        <f t="shared" si="21"/>
        <v>4.9309342738652386</v>
      </c>
      <c r="AA44">
        <f t="shared" si="22"/>
        <v>5.058533671350296</v>
      </c>
      <c r="AB44">
        <f t="shared" si="23"/>
        <v>4.6776480792817239</v>
      </c>
      <c r="AC44">
        <f t="shared" si="24"/>
        <v>4.8135515926415477</v>
      </c>
      <c r="AD44">
        <f t="shared" si="25"/>
        <v>4.9844954221766224</v>
      </c>
      <c r="AE44">
        <f t="shared" si="26"/>
        <v>4.8446253907530794</v>
      </c>
      <c r="AF44">
        <f t="shared" si="27"/>
        <v>4.9091056063007192</v>
      </c>
      <c r="AG44">
        <f t="shared" si="28"/>
        <v>4.9428657127242221</v>
      </c>
      <c r="AH44">
        <f t="shared" si="29"/>
        <v>4.9426892832659846</v>
      </c>
      <c r="AI44">
        <f t="shared" si="30"/>
        <v>5.2846414141489753</v>
      </c>
      <c r="AJ44" t="str">
        <f t="shared" si="31"/>
        <v>C06730</v>
      </c>
      <c r="AL44">
        <f t="shared" si="32"/>
        <v>4.9533550503324513</v>
      </c>
      <c r="AM44">
        <f t="shared" si="33"/>
        <v>0.1601403489015007</v>
      </c>
      <c r="AN44">
        <f t="shared" si="34"/>
        <v>-0.77768454581579372</v>
      </c>
      <c r="AO44">
        <f t="shared" si="35"/>
        <v>-0.24715904419491602</v>
      </c>
      <c r="AP44">
        <f t="shared" si="36"/>
        <v>1.1896931321206274</v>
      </c>
      <c r="AQ44">
        <f t="shared" si="37"/>
        <v>0.32501756527055836</v>
      </c>
      <c r="AR44">
        <f t="shared" si="38"/>
        <v>-1.1517247259355512</v>
      </c>
      <c r="AS44">
        <f t="shared" si="39"/>
        <v>1.5639416829837947</v>
      </c>
      <c r="AT44">
        <f t="shared" si="40"/>
        <v>-0.14000704145463821</v>
      </c>
      <c r="AU44">
        <f t="shared" si="41"/>
        <v>0.65679025766665511</v>
      </c>
      <c r="AV44">
        <f t="shared" si="42"/>
        <v>-1.7216583636913989</v>
      </c>
      <c r="AW44">
        <f t="shared" si="43"/>
        <v>-0.87300582676321004</v>
      </c>
      <c r="AX44">
        <f t="shared" si="44"/>
        <v>0.19445675033045565</v>
      </c>
      <c r="AY44">
        <f t="shared" si="45"/>
        <v>-0.67896479759919481</v>
      </c>
      <c r="AZ44">
        <f t="shared" si="46"/>
        <v>-0.2763166455878589</v>
      </c>
      <c r="BA44">
        <f t="shared" si="47"/>
        <v>-6.5500903926972928E-2</v>
      </c>
      <c r="BB44">
        <f t="shared" si="48"/>
        <v>-6.6602621635519388E-2</v>
      </c>
      <c r="BC44">
        <f t="shared" si="49"/>
        <v>2.0687251282329351</v>
      </c>
      <c r="BD44" t="str">
        <f t="shared" si="50"/>
        <v>C06730</v>
      </c>
    </row>
    <row r="45" spans="1:56" x14ac:dyDescent="0.2">
      <c r="A45" t="s">
        <v>84</v>
      </c>
      <c r="B45">
        <v>118272.4375</v>
      </c>
      <c r="C45">
        <v>163874.125</v>
      </c>
      <c r="D45">
        <v>150842.6875</v>
      </c>
      <c r="E45">
        <v>267619.65620000003</v>
      </c>
      <c r="F45">
        <v>128863.86719999999</v>
      </c>
      <c r="G45">
        <v>77712.789059999996</v>
      </c>
      <c r="H45">
        <v>123810.3594</v>
      </c>
      <c r="I45">
        <v>119084.96090000001</v>
      </c>
      <c r="J45">
        <v>420050.25</v>
      </c>
      <c r="K45">
        <v>213223.0625</v>
      </c>
      <c r="L45">
        <v>206911.10939999999</v>
      </c>
      <c r="M45">
        <v>280619.28120000003</v>
      </c>
      <c r="N45">
        <v>170284.14060000001</v>
      </c>
      <c r="O45">
        <v>133953.42189999999</v>
      </c>
      <c r="P45">
        <v>111274.25</v>
      </c>
      <c r="Q45">
        <v>76907.703120000006</v>
      </c>
      <c r="R45" s="2" t="s">
        <v>367</v>
      </c>
      <c r="S45" s="4" t="s">
        <v>421</v>
      </c>
      <c r="T45">
        <f t="shared" si="15"/>
        <v>5.0728835473638867</v>
      </c>
      <c r="U45">
        <f t="shared" si="16"/>
        <v>5.2145103858045561</v>
      </c>
      <c r="V45">
        <f t="shared" si="17"/>
        <v>5.1785242614425631</v>
      </c>
      <c r="W45">
        <f t="shared" si="18"/>
        <v>5.427518008444399</v>
      </c>
      <c r="X45">
        <f t="shared" si="19"/>
        <v>5.1101311603676089</v>
      </c>
      <c r="Y45">
        <f t="shared" si="20"/>
        <v>4.8904924957782319</v>
      </c>
      <c r="Z45">
        <f t="shared" si="21"/>
        <v>5.0927569842804665</v>
      </c>
      <c r="AA45">
        <f t="shared" si="22"/>
        <v>5.0758569184051394</v>
      </c>
      <c r="AB45">
        <f t="shared" si="23"/>
        <v>5.6233012475224697</v>
      </c>
      <c r="AC45">
        <f t="shared" si="24"/>
        <v>5.328834176784186</v>
      </c>
      <c r="AD45">
        <f t="shared" si="25"/>
        <v>5.3157838092814451</v>
      </c>
      <c r="AE45">
        <f t="shared" si="26"/>
        <v>5.4481175078579902</v>
      </c>
      <c r="AF45">
        <f t="shared" si="27"/>
        <v>5.2311742018637357</v>
      </c>
      <c r="AG45">
        <f t="shared" si="28"/>
        <v>5.1269538123324754</v>
      </c>
      <c r="AH45">
        <f t="shared" si="29"/>
        <v>5.0463946757745184</v>
      </c>
      <c r="AI45">
        <f t="shared" si="30"/>
        <v>4.8859698411663741</v>
      </c>
      <c r="AJ45" t="str">
        <f t="shared" si="31"/>
        <v>C00628</v>
      </c>
      <c r="AL45">
        <f t="shared" si="32"/>
        <v>5.1918251896543772</v>
      </c>
      <c r="AM45">
        <f t="shared" si="33"/>
        <v>0.1995957447324041</v>
      </c>
      <c r="AN45">
        <f t="shared" si="34"/>
        <v>-0.5959127157242472</v>
      </c>
      <c r="AO45">
        <f t="shared" si="35"/>
        <v>0.11365571034889864</v>
      </c>
      <c r="AP45">
        <f t="shared" si="36"/>
        <v>-6.6639337575290392E-2</v>
      </c>
      <c r="AQ45">
        <f t="shared" si="37"/>
        <v>1.1808509199733324</v>
      </c>
      <c r="AR45">
        <f t="shared" si="38"/>
        <v>-0.40929744968408316</v>
      </c>
      <c r="AS45">
        <f t="shared" si="39"/>
        <v>-1.5097150206290164</v>
      </c>
      <c r="AT45">
        <f t="shared" si="40"/>
        <v>-0.49634427580973928</v>
      </c>
      <c r="AU45">
        <f t="shared" si="41"/>
        <v>-0.58101574963291547</v>
      </c>
      <c r="AV45">
        <f t="shared" si="42"/>
        <v>2.1617497830255243</v>
      </c>
      <c r="AW45">
        <f t="shared" si="43"/>
        <v>0.68643240522735238</v>
      </c>
      <c r="AX45">
        <f t="shared" si="44"/>
        <v>0.62104840858835897</v>
      </c>
      <c r="AY45">
        <f t="shared" si="45"/>
        <v>1.2840570250995149</v>
      </c>
      <c r="AZ45">
        <f t="shared" si="46"/>
        <v>0.1971435426246852</v>
      </c>
      <c r="BA45">
        <f t="shared" si="47"/>
        <v>-0.32501382937233564</v>
      </c>
      <c r="BB45">
        <f t="shared" si="48"/>
        <v>-0.72862532252296253</v>
      </c>
      <c r="BC45">
        <f t="shared" si="49"/>
        <v>-1.5323740939370232</v>
      </c>
      <c r="BD45" t="str">
        <f t="shared" si="50"/>
        <v>C00628</v>
      </c>
    </row>
    <row r="46" spans="1:56" x14ac:dyDescent="0.2">
      <c r="A46" t="s">
        <v>85</v>
      </c>
      <c r="B46">
        <v>1179902.375</v>
      </c>
      <c r="C46">
        <v>1363710.875</v>
      </c>
      <c r="D46">
        <v>1338685.25</v>
      </c>
      <c r="E46">
        <v>827183.9375</v>
      </c>
      <c r="F46">
        <v>3639012.5</v>
      </c>
      <c r="G46">
        <v>1902474.125</v>
      </c>
      <c r="H46">
        <v>1957259.875</v>
      </c>
      <c r="I46">
        <v>1787672.875</v>
      </c>
      <c r="J46">
        <v>648229.875</v>
      </c>
      <c r="K46">
        <v>520072.3125</v>
      </c>
      <c r="L46">
        <v>532447.75</v>
      </c>
      <c r="M46">
        <v>707330.4375</v>
      </c>
      <c r="N46">
        <v>4351571.5</v>
      </c>
      <c r="O46">
        <v>6304878.5</v>
      </c>
      <c r="P46">
        <v>6567400</v>
      </c>
      <c r="Q46">
        <v>3513647</v>
      </c>
      <c r="R46" s="2"/>
      <c r="S46" s="4" t="s">
        <v>421</v>
      </c>
      <c r="T46">
        <f t="shared" si="15"/>
        <v>6.0718460753122692</v>
      </c>
      <c r="U46">
        <f t="shared" si="16"/>
        <v>6.1347223038234562</v>
      </c>
      <c r="V46">
        <f t="shared" si="17"/>
        <v>6.1266784782393406</v>
      </c>
      <c r="W46">
        <f t="shared" si="18"/>
        <v>5.9176020925742812</v>
      </c>
      <c r="X46">
        <f t="shared" si="19"/>
        <v>6.5609835473893954</v>
      </c>
      <c r="Y46">
        <f t="shared" si="20"/>
        <v>6.2793187587692136</v>
      </c>
      <c r="Z46">
        <f t="shared" si="21"/>
        <v>6.2916484928963836</v>
      </c>
      <c r="AA46">
        <f t="shared" si="22"/>
        <v>6.2522880504889171</v>
      </c>
      <c r="AB46">
        <f t="shared" si="23"/>
        <v>5.8117290425071495</v>
      </c>
      <c r="AC46">
        <f t="shared" si="24"/>
        <v>5.7160637335123026</v>
      </c>
      <c r="AD46">
        <f t="shared" si="25"/>
        <v>5.7262769961482594</v>
      </c>
      <c r="AE46">
        <f t="shared" si="26"/>
        <v>5.8496223468338613</v>
      </c>
      <c r="AF46">
        <f t="shared" si="27"/>
        <v>6.6386461237426033</v>
      </c>
      <c r="AG46">
        <f t="shared" si="28"/>
        <v>6.7996767217912613</v>
      </c>
      <c r="AH46">
        <f t="shared" si="29"/>
        <v>6.8173934686253963</v>
      </c>
      <c r="AI46">
        <f t="shared" si="30"/>
        <v>6.5457581277760015</v>
      </c>
      <c r="AJ46">
        <f t="shared" si="31"/>
        <v>0</v>
      </c>
      <c r="AL46">
        <f t="shared" si="32"/>
        <v>6.2212658975268802</v>
      </c>
      <c r="AM46">
        <f t="shared" si="33"/>
        <v>0.36798370344545989</v>
      </c>
      <c r="AN46">
        <f t="shared" si="34"/>
        <v>-0.40605010715306594</v>
      </c>
      <c r="AO46">
        <f t="shared" si="35"/>
        <v>-0.23518322385776774</v>
      </c>
      <c r="AP46">
        <f t="shared" si="36"/>
        <v>-0.2570424135686179</v>
      </c>
      <c r="AQ46">
        <f t="shared" si="37"/>
        <v>-0.82520992671515436</v>
      </c>
      <c r="AR46">
        <f t="shared" si="38"/>
        <v>0.92318667017509892</v>
      </c>
      <c r="AS46">
        <f t="shared" si="39"/>
        <v>0.15775932656468211</v>
      </c>
      <c r="AT46">
        <f t="shared" si="40"/>
        <v>0.19126552265903554</v>
      </c>
      <c r="AU46">
        <f t="shared" si="41"/>
        <v>8.4303061987729619E-2</v>
      </c>
      <c r="AV46">
        <f t="shared" si="42"/>
        <v>-1.1129211733704656</v>
      </c>
      <c r="AW46">
        <f t="shared" si="43"/>
        <v>-1.3728927647728164</v>
      </c>
      <c r="AX46">
        <f t="shared" si="44"/>
        <v>-1.3451381046062678</v>
      </c>
      <c r="AY46">
        <f t="shared" si="45"/>
        <v>-1.0099456775212912</v>
      </c>
      <c r="AZ46">
        <f t="shared" si="46"/>
        <v>1.1342356259469095</v>
      </c>
      <c r="BA46">
        <f t="shared" si="47"/>
        <v>1.5718381516590973</v>
      </c>
      <c r="BB46">
        <f t="shared" si="48"/>
        <v>1.6199836175268838</v>
      </c>
      <c r="BC46">
        <f t="shared" si="49"/>
        <v>0.88181141504603455</v>
      </c>
      <c r="BD46">
        <f t="shared" si="50"/>
        <v>0</v>
      </c>
    </row>
    <row r="47" spans="1:56" x14ac:dyDescent="0.2">
      <c r="A47" t="s">
        <v>86</v>
      </c>
      <c r="B47">
        <v>403796</v>
      </c>
      <c r="C47">
        <v>495417.9375</v>
      </c>
      <c r="D47">
        <v>348767.9375</v>
      </c>
      <c r="E47">
        <v>610940.375</v>
      </c>
      <c r="F47">
        <v>2146685.25</v>
      </c>
      <c r="G47">
        <v>491556.65620000003</v>
      </c>
      <c r="H47">
        <v>510752.53120000003</v>
      </c>
      <c r="I47">
        <v>232937.1562</v>
      </c>
      <c r="J47">
        <v>7655720.5</v>
      </c>
      <c r="K47">
        <v>4349617</v>
      </c>
      <c r="L47">
        <v>5907873</v>
      </c>
      <c r="M47">
        <v>6193104.5</v>
      </c>
      <c r="N47">
        <v>4640817</v>
      </c>
      <c r="O47">
        <v>4067892.75</v>
      </c>
      <c r="P47">
        <v>5439882</v>
      </c>
      <c r="Q47">
        <v>5407872.5</v>
      </c>
      <c r="R47" s="2" t="s">
        <v>87</v>
      </c>
      <c r="S47" s="4" t="s">
        <v>421</v>
      </c>
      <c r="T47">
        <f t="shared" si="15"/>
        <v>5.6061620125112066</v>
      </c>
      <c r="U47">
        <f t="shared" si="16"/>
        <v>5.6949717269495341</v>
      </c>
      <c r="V47">
        <f t="shared" si="17"/>
        <v>5.5425365530757409</v>
      </c>
      <c r="W47">
        <f t="shared" si="18"/>
        <v>5.7859988271459093</v>
      </c>
      <c r="X47">
        <f t="shared" si="19"/>
        <v>6.3317683722383746</v>
      </c>
      <c r="Y47">
        <f t="shared" si="20"/>
        <v>5.6915735812871233</v>
      </c>
      <c r="Z47">
        <f t="shared" si="21"/>
        <v>5.7082105275971307</v>
      </c>
      <c r="AA47">
        <f t="shared" si="22"/>
        <v>5.3672387691081509</v>
      </c>
      <c r="AB47">
        <f t="shared" si="23"/>
        <v>6.8839860695541226</v>
      </c>
      <c r="AC47">
        <f t="shared" si="24"/>
        <v>6.6384510173892224</v>
      </c>
      <c r="AD47">
        <f t="shared" si="25"/>
        <v>6.7714311508254186</v>
      </c>
      <c r="AE47">
        <f t="shared" si="26"/>
        <v>6.7919084081850052</v>
      </c>
      <c r="AF47">
        <f t="shared" si="27"/>
        <v>6.6665944433474627</v>
      </c>
      <c r="AG47">
        <f t="shared" si="28"/>
        <v>6.6093694942268142</v>
      </c>
      <c r="AH47">
        <f t="shared" si="29"/>
        <v>6.7355894792377615</v>
      </c>
      <c r="AI47">
        <f t="shared" si="30"/>
        <v>6.7330264438065104</v>
      </c>
      <c r="AJ47" t="str">
        <f t="shared" si="31"/>
        <v>C00418</v>
      </c>
      <c r="AL47">
        <f t="shared" si="32"/>
        <v>6.2224260547803425</v>
      </c>
      <c r="AM47">
        <f t="shared" si="33"/>
        <v>0.56022294963429764</v>
      </c>
      <c r="AN47">
        <f t="shared" si="34"/>
        <v>-1.1000335539117432</v>
      </c>
      <c r="AO47">
        <f t="shared" si="35"/>
        <v>-0.94150789105501664</v>
      </c>
      <c r="AP47">
        <f t="shared" si="36"/>
        <v>-1.2136052301113689</v>
      </c>
      <c r="AQ47">
        <f t="shared" si="37"/>
        <v>-0.77902418656594519</v>
      </c>
      <c r="AR47">
        <f t="shared" si="38"/>
        <v>0.1951764338276549</v>
      </c>
      <c r="AS47">
        <f t="shared" si="39"/>
        <v>-0.94757359340553449</v>
      </c>
      <c r="AT47">
        <f t="shared" si="40"/>
        <v>-0.91787658381164405</v>
      </c>
      <c r="AU47">
        <f t="shared" si="41"/>
        <v>-1.5265124112292094</v>
      </c>
      <c r="AV47">
        <f t="shared" si="42"/>
        <v>1.1808870293614948</v>
      </c>
      <c r="AW47">
        <f t="shared" si="43"/>
        <v>0.74260606938800466</v>
      </c>
      <c r="AX47">
        <f t="shared" si="44"/>
        <v>0.97997609059653068</v>
      </c>
      <c r="AY47">
        <f t="shared" si="45"/>
        <v>1.0165280693631158</v>
      </c>
      <c r="AZ47">
        <f t="shared" si="46"/>
        <v>0.79284218694907882</v>
      </c>
      <c r="BA47">
        <f t="shared" si="47"/>
        <v>0.6906954449100321</v>
      </c>
      <c r="BB47">
        <f t="shared" si="48"/>
        <v>0.91599857662454187</v>
      </c>
      <c r="BC47">
        <f t="shared" si="49"/>
        <v>0.91142354907002232</v>
      </c>
      <c r="BD47" t="str">
        <f t="shared" si="50"/>
        <v>C00418</v>
      </c>
    </row>
    <row r="48" spans="1:56" x14ac:dyDescent="0.2">
      <c r="A48" t="s">
        <v>88</v>
      </c>
      <c r="B48">
        <v>3035076.25</v>
      </c>
      <c r="C48">
        <v>2552599</v>
      </c>
      <c r="D48">
        <v>642685.875</v>
      </c>
      <c r="E48">
        <v>563686.9375</v>
      </c>
      <c r="F48">
        <v>217090.9688</v>
      </c>
      <c r="G48">
        <v>131357.04689999999</v>
      </c>
      <c r="H48">
        <v>171734.64060000001</v>
      </c>
      <c r="I48">
        <v>143443.2188</v>
      </c>
      <c r="J48">
        <v>2059631.875</v>
      </c>
      <c r="K48">
        <v>633097.3125</v>
      </c>
      <c r="L48">
        <v>1054149.25</v>
      </c>
      <c r="M48">
        <v>737144.3125</v>
      </c>
      <c r="N48">
        <v>199347.51560000001</v>
      </c>
      <c r="O48">
        <v>224785.6562</v>
      </c>
      <c r="P48">
        <v>226317.4062</v>
      </c>
      <c r="Q48">
        <v>190964.39060000001</v>
      </c>
      <c r="R48" s="2" t="s">
        <v>89</v>
      </c>
      <c r="S48" s="4" t="s">
        <v>421</v>
      </c>
      <c r="T48">
        <f t="shared" si="15"/>
        <v>6.482169606297032</v>
      </c>
      <c r="U48">
        <f t="shared" si="16"/>
        <v>6.40698259476284</v>
      </c>
      <c r="V48">
        <f t="shared" si="17"/>
        <v>5.8079987550574863</v>
      </c>
      <c r="W48">
        <f t="shared" si="18"/>
        <v>5.7510379708900832</v>
      </c>
      <c r="X48">
        <f t="shared" si="19"/>
        <v>5.3366417567482589</v>
      </c>
      <c r="Y48">
        <f t="shared" si="20"/>
        <v>5.1184533763051245</v>
      </c>
      <c r="Z48">
        <f t="shared" si="21"/>
        <v>5.2348579055513804</v>
      </c>
      <c r="AA48">
        <f t="shared" si="22"/>
        <v>5.1566800220323339</v>
      </c>
      <c r="AB48">
        <f t="shared" si="23"/>
        <v>6.3137896043775177</v>
      </c>
      <c r="AC48">
        <f t="shared" si="24"/>
        <v>5.8014704699439994</v>
      </c>
      <c r="AD48">
        <f t="shared" si="25"/>
        <v>6.0229021041048014</v>
      </c>
      <c r="AE48">
        <f t="shared" si="26"/>
        <v>5.8675525190491307</v>
      </c>
      <c r="AF48">
        <f t="shared" si="27"/>
        <v>5.2996108275683449</v>
      </c>
      <c r="AG48">
        <f t="shared" si="28"/>
        <v>5.3517685950111762</v>
      </c>
      <c r="AH48">
        <f t="shared" si="29"/>
        <v>5.3547179570740564</v>
      </c>
      <c r="AI48">
        <f t="shared" si="30"/>
        <v>5.2809523912910716</v>
      </c>
      <c r="AJ48" t="str">
        <f t="shared" si="31"/>
        <v>C00490</v>
      </c>
      <c r="AL48">
        <f t="shared" si="32"/>
        <v>5.6617241535040401</v>
      </c>
      <c r="AM48">
        <f t="shared" si="33"/>
        <v>0.46043398618957865</v>
      </c>
      <c r="AN48">
        <f t="shared" si="34"/>
        <v>1.7818959446994047</v>
      </c>
      <c r="AO48">
        <f t="shared" si="35"/>
        <v>1.6185999809144147</v>
      </c>
      <c r="AP48">
        <f t="shared" si="36"/>
        <v>0.31768854155179416</v>
      </c>
      <c r="AQ48">
        <f t="shared" si="37"/>
        <v>0.19397746488085929</v>
      </c>
      <c r="AR48">
        <f t="shared" si="38"/>
        <v>-0.70603475526659343</v>
      </c>
      <c r="AS48">
        <f t="shared" si="39"/>
        <v>-1.1799102444519154</v>
      </c>
      <c r="AT48">
        <f t="shared" si="40"/>
        <v>-0.92709543768756941</v>
      </c>
      <c r="AU48">
        <f t="shared" si="41"/>
        <v>-1.0968871686716886</v>
      </c>
      <c r="AV48">
        <f t="shared" si="42"/>
        <v>1.416197479838069</v>
      </c>
      <c r="AW48">
        <f t="shared" si="43"/>
        <v>0.30350999411763724</v>
      </c>
      <c r="AX48">
        <f t="shared" si="44"/>
        <v>0.78442938930240091</v>
      </c>
      <c r="AY48">
        <f t="shared" si="45"/>
        <v>0.44703121776145988</v>
      </c>
      <c r="AZ48">
        <f t="shared" si="46"/>
        <v>-0.78646089732090074</v>
      </c>
      <c r="BA48">
        <f t="shared" si="47"/>
        <v>-0.67318131977608431</v>
      </c>
      <c r="BB48">
        <f t="shared" si="48"/>
        <v>-0.66677570648222584</v>
      </c>
      <c r="BC48">
        <f t="shared" si="49"/>
        <v>-0.82698448340907205</v>
      </c>
      <c r="BD48" t="str">
        <f t="shared" si="50"/>
        <v>C00490</v>
      </c>
    </row>
    <row r="49" spans="1:56" x14ac:dyDescent="0.2">
      <c r="A49" t="s">
        <v>90</v>
      </c>
      <c r="B49">
        <v>614774.3125</v>
      </c>
      <c r="C49">
        <v>700137.6875</v>
      </c>
      <c r="D49">
        <v>704426.8125</v>
      </c>
      <c r="E49">
        <v>671852.8125</v>
      </c>
      <c r="F49">
        <v>569307.875</v>
      </c>
      <c r="G49">
        <v>600252.9375</v>
      </c>
      <c r="H49">
        <v>675071.5</v>
      </c>
      <c r="I49">
        <v>688613</v>
      </c>
      <c r="J49">
        <v>1060315</v>
      </c>
      <c r="K49">
        <v>652902.3125</v>
      </c>
      <c r="L49">
        <v>644833.1875</v>
      </c>
      <c r="M49">
        <v>799469.125</v>
      </c>
      <c r="N49">
        <v>652838.1875</v>
      </c>
      <c r="O49">
        <v>749082.6875</v>
      </c>
      <c r="P49">
        <v>1039271.812</v>
      </c>
      <c r="Q49">
        <v>567537.5</v>
      </c>
      <c r="R49" s="2" t="s">
        <v>91</v>
      </c>
      <c r="S49" s="4" t="s">
        <v>421</v>
      </c>
      <c r="T49">
        <f t="shared" si="15"/>
        <v>5.7887157128085658</v>
      </c>
      <c r="U49">
        <f t="shared" si="16"/>
        <v>5.8451834557875824</v>
      </c>
      <c r="V49">
        <f t="shared" si="17"/>
        <v>5.8478358781004367</v>
      </c>
      <c r="W49">
        <f t="shared" si="18"/>
        <v>5.827274139541113</v>
      </c>
      <c r="X49">
        <f t="shared" si="19"/>
        <v>5.7553471912687595</v>
      </c>
      <c r="Y49">
        <f t="shared" si="20"/>
        <v>5.778334294071704</v>
      </c>
      <c r="Z49">
        <f t="shared" si="21"/>
        <v>5.8293497734398594</v>
      </c>
      <c r="AA49">
        <f t="shared" si="22"/>
        <v>5.8379752172867088</v>
      </c>
      <c r="AB49">
        <f t="shared" si="23"/>
        <v>6.0254349053015632</v>
      </c>
      <c r="AC49">
        <f t="shared" si="24"/>
        <v>5.814848206825034</v>
      </c>
      <c r="AD49">
        <f t="shared" si="25"/>
        <v>5.8094473811190142</v>
      </c>
      <c r="AE49">
        <f t="shared" si="26"/>
        <v>5.9028016962235341</v>
      </c>
      <c r="AF49">
        <f t="shared" si="27"/>
        <v>5.8148055503650804</v>
      </c>
      <c r="AG49">
        <f t="shared" si="28"/>
        <v>5.8745297599463244</v>
      </c>
      <c r="AH49">
        <f t="shared" si="29"/>
        <v>6.0167291481475393</v>
      </c>
      <c r="AI49">
        <f t="shared" si="30"/>
        <v>5.7539945627902878</v>
      </c>
      <c r="AJ49" t="str">
        <f t="shared" si="31"/>
        <v>C00383</v>
      </c>
      <c r="AL49">
        <f t="shared" si="32"/>
        <v>5.8451629295639442</v>
      </c>
      <c r="AM49">
        <f t="shared" si="33"/>
        <v>7.9117427400199059E-2</v>
      </c>
      <c r="AN49">
        <f t="shared" si="34"/>
        <v>-0.71346122605645323</v>
      </c>
      <c r="AO49">
        <f t="shared" si="35"/>
        <v>2.5943997817700888E-4</v>
      </c>
      <c r="AP49">
        <f t="shared" si="36"/>
        <v>3.3784573441347068E-2</v>
      </c>
      <c r="AQ49">
        <f t="shared" si="37"/>
        <v>-0.22610429346172436</v>
      </c>
      <c r="AR49">
        <f t="shared" si="38"/>
        <v>-1.1352206618254976</v>
      </c>
      <c r="AS49">
        <f t="shared" si="39"/>
        <v>-0.84467654836906558</v>
      </c>
      <c r="AT49">
        <f t="shared" si="40"/>
        <v>-0.19986944272211085</v>
      </c>
      <c r="AU49">
        <f t="shared" si="41"/>
        <v>-9.0848660193131925E-2</v>
      </c>
      <c r="AV49">
        <f t="shared" si="42"/>
        <v>2.2785368743823113</v>
      </c>
      <c r="AW49">
        <f t="shared" si="43"/>
        <v>-0.38316112814904235</v>
      </c>
      <c r="AX49">
        <f t="shared" si="44"/>
        <v>-0.4514245422095236</v>
      </c>
      <c r="AY49">
        <f t="shared" si="45"/>
        <v>0.72852174993046948</v>
      </c>
      <c r="AZ49">
        <f t="shared" si="46"/>
        <v>-0.38370028192786576</v>
      </c>
      <c r="BA49">
        <f t="shared" si="47"/>
        <v>0.37118029930162144</v>
      </c>
      <c r="BB49">
        <f t="shared" si="48"/>
        <v>2.1685009766023238</v>
      </c>
      <c r="BC49">
        <f t="shared" si="49"/>
        <v>-1.1523171287218459</v>
      </c>
      <c r="BD49" t="str">
        <f t="shared" si="50"/>
        <v>C00383</v>
      </c>
    </row>
    <row r="50" spans="1:56" x14ac:dyDescent="0.2">
      <c r="A50" t="s">
        <v>92</v>
      </c>
      <c r="B50">
        <v>25310084</v>
      </c>
      <c r="C50">
        <v>15751479</v>
      </c>
      <c r="D50">
        <v>39110604</v>
      </c>
      <c r="E50">
        <v>14145246</v>
      </c>
      <c r="F50">
        <v>17741912</v>
      </c>
      <c r="G50">
        <v>14212169</v>
      </c>
      <c r="H50">
        <v>12909560</v>
      </c>
      <c r="I50">
        <v>18130274</v>
      </c>
      <c r="J50">
        <v>8995520</v>
      </c>
      <c r="K50">
        <v>4171588.75</v>
      </c>
      <c r="L50">
        <v>4172800.5</v>
      </c>
      <c r="M50">
        <v>6105119.5</v>
      </c>
      <c r="N50">
        <v>9076879</v>
      </c>
      <c r="O50">
        <v>11274583</v>
      </c>
      <c r="P50">
        <v>27310770</v>
      </c>
      <c r="Q50">
        <v>8564914</v>
      </c>
      <c r="R50" s="2"/>
      <c r="S50" s="4" t="s">
        <v>421</v>
      </c>
      <c r="T50">
        <f t="shared" si="15"/>
        <v>7.4032935865124996</v>
      </c>
      <c r="U50">
        <f t="shared" si="16"/>
        <v>7.1973213385308314</v>
      </c>
      <c r="V50">
        <f t="shared" si="17"/>
        <v>7.5922945229795289</v>
      </c>
      <c r="W50">
        <f t="shared" si="18"/>
        <v>7.1506105046748436</v>
      </c>
      <c r="X50">
        <f t="shared" si="19"/>
        <v>7.2490004208116217</v>
      </c>
      <c r="Y50">
        <f t="shared" si="20"/>
        <v>7.1526603631383612</v>
      </c>
      <c r="Z50">
        <f t="shared" si="21"/>
        <v>7.110911440343223</v>
      </c>
      <c r="AA50">
        <f t="shared" si="22"/>
        <v>7.2584043675697973</v>
      </c>
      <c r="AB50">
        <f t="shared" si="23"/>
        <v>6.9540262734740264</v>
      </c>
      <c r="AC50">
        <f t="shared" si="24"/>
        <v>6.6203014875759019</v>
      </c>
      <c r="AD50">
        <f t="shared" si="25"/>
        <v>6.6204276217545415</v>
      </c>
      <c r="AE50">
        <f t="shared" si="26"/>
        <v>6.7856941691298225</v>
      </c>
      <c r="AF50">
        <f t="shared" si="27"/>
        <v>6.9579365460896074</v>
      </c>
      <c r="AG50">
        <f t="shared" si="28"/>
        <v>7.0521004880978477</v>
      </c>
      <c r="AH50">
        <f t="shared" si="29"/>
        <v>7.4363339448133656</v>
      </c>
      <c r="AI50">
        <f t="shared" si="30"/>
        <v>6.9327230065878158</v>
      </c>
      <c r="AJ50">
        <f t="shared" si="31"/>
        <v>0</v>
      </c>
      <c r="AL50">
        <f t="shared" si="32"/>
        <v>7.0921275051302279</v>
      </c>
      <c r="AM50">
        <f t="shared" si="33"/>
        <v>0.27560148799996453</v>
      </c>
      <c r="AN50">
        <f t="shared" si="34"/>
        <v>1.1290435463189941</v>
      </c>
      <c r="AO50">
        <f t="shared" si="35"/>
        <v>0.38168819103261536</v>
      </c>
      <c r="AP50">
        <f t="shared" si="36"/>
        <v>1.814819729309173</v>
      </c>
      <c r="AQ50">
        <f t="shared" si="37"/>
        <v>0.21220131998932892</v>
      </c>
      <c r="AR50">
        <f t="shared" si="38"/>
        <v>0.5692019909609991</v>
      </c>
      <c r="AS50">
        <f t="shared" si="39"/>
        <v>0.21963908267484039</v>
      </c>
      <c r="AT50">
        <f t="shared" si="40"/>
        <v>6.8156145851423919E-2</v>
      </c>
      <c r="AU50">
        <f t="shared" si="41"/>
        <v>0.60332352936930012</v>
      </c>
      <c r="AV50">
        <f t="shared" si="42"/>
        <v>-0.50109029765550239</v>
      </c>
      <c r="AW50">
        <f t="shared" si="43"/>
        <v>-1.7119864663226594</v>
      </c>
      <c r="AX50">
        <f t="shared" si="44"/>
        <v>-1.7115287976084772</v>
      </c>
      <c r="AY50">
        <f t="shared" si="45"/>
        <v>-1.1118711231357534</v>
      </c>
      <c r="AZ50">
        <f t="shared" si="46"/>
        <v>-0.48690215722143626</v>
      </c>
      <c r="BA50">
        <f t="shared" si="47"/>
        <v>-0.1452351267145022</v>
      </c>
      <c r="BB50">
        <f t="shared" si="48"/>
        <v>1.2489280888178005</v>
      </c>
      <c r="BC50">
        <f t="shared" si="49"/>
        <v>-0.57838765566618655</v>
      </c>
      <c r="BD50">
        <f t="shared" si="50"/>
        <v>0</v>
      </c>
    </row>
    <row r="51" spans="1:56" x14ac:dyDescent="0.2">
      <c r="A51" t="s">
        <v>93</v>
      </c>
      <c r="B51">
        <v>9999545</v>
      </c>
      <c r="C51">
        <v>5383478.5</v>
      </c>
      <c r="D51">
        <v>8007219.5</v>
      </c>
      <c r="E51">
        <v>6495978</v>
      </c>
      <c r="F51">
        <v>13807930</v>
      </c>
      <c r="G51">
        <v>8641791</v>
      </c>
      <c r="H51">
        <v>11637732</v>
      </c>
      <c r="I51">
        <v>8701739</v>
      </c>
      <c r="J51">
        <v>2914783</v>
      </c>
      <c r="K51">
        <v>4093314.25</v>
      </c>
      <c r="L51">
        <v>3001421.75</v>
      </c>
      <c r="M51">
        <v>3934501</v>
      </c>
      <c r="N51">
        <v>10160035</v>
      </c>
      <c r="O51">
        <v>12345257</v>
      </c>
      <c r="P51">
        <v>13526735</v>
      </c>
      <c r="Q51">
        <v>13040612</v>
      </c>
      <c r="R51" s="2" t="s">
        <v>94</v>
      </c>
      <c r="S51" s="4" t="s">
        <v>421</v>
      </c>
      <c r="T51">
        <f t="shared" si="15"/>
        <v>6.9999802391515109</v>
      </c>
      <c r="U51">
        <f t="shared" si="16"/>
        <v>6.7310629829503581</v>
      </c>
      <c r="V51">
        <f t="shared" si="17"/>
        <v>6.9034817338814891</v>
      </c>
      <c r="W51">
        <f t="shared" si="18"/>
        <v>6.8126445454057203</v>
      </c>
      <c r="X51">
        <f t="shared" si="19"/>
        <v>7.1401285766988583</v>
      </c>
      <c r="Y51">
        <f t="shared" si="20"/>
        <v>6.9366037587763794</v>
      </c>
      <c r="Z51">
        <f t="shared" si="21"/>
        <v>7.065868351803835</v>
      </c>
      <c r="AA51">
        <f t="shared" si="22"/>
        <v>6.9396060529213406</v>
      </c>
      <c r="AB51">
        <f t="shared" si="23"/>
        <v>6.46460622790788</v>
      </c>
      <c r="AC51">
        <f t="shared" si="24"/>
        <v>6.6120750873772582</v>
      </c>
      <c r="AD51">
        <f t="shared" si="25"/>
        <v>6.4773270253576607</v>
      </c>
      <c r="AE51">
        <f t="shared" si="26"/>
        <v>6.5948896600271318</v>
      </c>
      <c r="AF51">
        <f t="shared" si="27"/>
        <v>7.0068952040385186</v>
      </c>
      <c r="AG51">
        <f t="shared" si="28"/>
        <v>7.0915001353793379</v>
      </c>
      <c r="AH51">
        <f t="shared" si="29"/>
        <v>7.1311929819191118</v>
      </c>
      <c r="AI51">
        <f t="shared" si="30"/>
        <v>7.1152979734500477</v>
      </c>
      <c r="AJ51" t="str">
        <f t="shared" si="31"/>
        <v>C01551</v>
      </c>
      <c r="AL51">
        <f t="shared" si="32"/>
        <v>6.8764475335654023</v>
      </c>
      <c r="AM51">
        <f t="shared" si="33"/>
        <v>0.2334525554971362</v>
      </c>
      <c r="AN51">
        <f t="shared" si="34"/>
        <v>0.52915550794912602</v>
      </c>
      <c r="AO51">
        <f t="shared" si="35"/>
        <v>-0.62275844573835748</v>
      </c>
      <c r="AP51">
        <f t="shared" si="36"/>
        <v>0.11580168937760231</v>
      </c>
      <c r="AQ51">
        <f t="shared" si="37"/>
        <v>-0.27330173372407002</v>
      </c>
      <c r="AR51">
        <f t="shared" si="38"/>
        <v>1.1294845009168923</v>
      </c>
      <c r="AS51">
        <f t="shared" si="39"/>
        <v>0.25768073124269153</v>
      </c>
      <c r="AT51">
        <f t="shared" si="40"/>
        <v>0.81138892583575239</v>
      </c>
      <c r="AU51">
        <f t="shared" si="41"/>
        <v>0.2705411350989177</v>
      </c>
      <c r="AV51">
        <f t="shared" si="42"/>
        <v>-1.764132779701246</v>
      </c>
      <c r="AW51">
        <f t="shared" si="43"/>
        <v>-1.1324461436079123</v>
      </c>
      <c r="AX51">
        <f t="shared" si="44"/>
        <v>-1.7096429180559458</v>
      </c>
      <c r="AY51">
        <f t="shared" si="45"/>
        <v>-1.2060603617668446</v>
      </c>
      <c r="AZ51">
        <f t="shared" si="46"/>
        <v>0.55877593712918927</v>
      </c>
      <c r="BA51">
        <f t="shared" si="47"/>
        <v>0.92118332719032359</v>
      </c>
      <c r="BB51">
        <f t="shared" si="48"/>
        <v>1.0912086518446122</v>
      </c>
      <c r="BC51">
        <f t="shared" si="49"/>
        <v>1.0231219760092769</v>
      </c>
      <c r="BD51" t="str">
        <f t="shared" si="50"/>
        <v>C01551</v>
      </c>
    </row>
    <row r="52" spans="1:56" x14ac:dyDescent="0.2">
      <c r="A52" t="s">
        <v>95</v>
      </c>
      <c r="B52">
        <v>12026367</v>
      </c>
      <c r="C52">
        <v>10205354</v>
      </c>
      <c r="D52">
        <v>19266132</v>
      </c>
      <c r="E52">
        <v>10270775</v>
      </c>
      <c r="F52">
        <v>25980434</v>
      </c>
      <c r="G52">
        <v>19296948</v>
      </c>
      <c r="H52">
        <v>18517838</v>
      </c>
      <c r="I52">
        <v>30085434</v>
      </c>
      <c r="J52">
        <v>25252358</v>
      </c>
      <c r="K52">
        <v>18669758</v>
      </c>
      <c r="L52">
        <v>25914972</v>
      </c>
      <c r="M52">
        <v>21680334</v>
      </c>
      <c r="N52">
        <v>72475672</v>
      </c>
      <c r="O52">
        <v>45350132</v>
      </c>
      <c r="P52">
        <v>75307568</v>
      </c>
      <c r="Q52">
        <v>77926672</v>
      </c>
      <c r="R52" s="2"/>
      <c r="S52" s="4" t="s">
        <v>421</v>
      </c>
      <c r="T52">
        <f t="shared" si="15"/>
        <v>7.0801344527643364</v>
      </c>
      <c r="U52">
        <f t="shared" si="16"/>
        <v>7.0088280739790978</v>
      </c>
      <c r="V52">
        <f t="shared" si="17"/>
        <v>7.2847945314860763</v>
      </c>
      <c r="W52">
        <f t="shared" si="18"/>
        <v>7.0116032153134027</v>
      </c>
      <c r="X52">
        <f t="shared" si="19"/>
        <v>7.4146464016342701</v>
      </c>
      <c r="Y52">
        <f t="shared" si="20"/>
        <v>7.2854886265429561</v>
      </c>
      <c r="Z52">
        <f t="shared" si="21"/>
        <v>7.2675902804301646</v>
      </c>
      <c r="AA52">
        <f t="shared" si="22"/>
        <v>7.4783562808250368</v>
      </c>
      <c r="AB52">
        <f t="shared" si="23"/>
        <v>7.40230193764575</v>
      </c>
      <c r="AC52">
        <f t="shared" si="24"/>
        <v>7.2711386886000815</v>
      </c>
      <c r="AD52">
        <f t="shared" si="25"/>
        <v>7.4135507439395063</v>
      </c>
      <c r="AE52">
        <f t="shared" si="26"/>
        <v>7.3360659685139336</v>
      </c>
      <c r="AF52">
        <f t="shared" si="27"/>
        <v>7.8601922508575122</v>
      </c>
      <c r="AG52">
        <f t="shared" si="28"/>
        <v>7.6565785554928762</v>
      </c>
      <c r="AH52">
        <f t="shared" si="29"/>
        <v>7.8768386226214675</v>
      </c>
      <c r="AI52">
        <f t="shared" si="30"/>
        <v>7.8916861293009291</v>
      </c>
      <c r="AJ52">
        <f t="shared" si="31"/>
        <v>0</v>
      </c>
      <c r="AL52">
        <f t="shared" si="32"/>
        <v>7.4087371724967106</v>
      </c>
      <c r="AM52">
        <f t="shared" si="33"/>
        <v>0.28552329874829374</v>
      </c>
      <c r="AN52">
        <f t="shared" si="34"/>
        <v>-1.1508788290585616</v>
      </c>
      <c r="AO52">
        <f t="shared" si="35"/>
        <v>-1.4006180941127231</v>
      </c>
      <c r="AP52">
        <f t="shared" si="36"/>
        <v>-0.43408941250674388</v>
      </c>
      <c r="AQ52">
        <f t="shared" si="37"/>
        <v>-1.3908986024058436</v>
      </c>
      <c r="AR52">
        <f t="shared" si="38"/>
        <v>2.0696136404507157E-2</v>
      </c>
      <c r="AS52">
        <f t="shared" si="39"/>
        <v>-0.4316584548233508</v>
      </c>
      <c r="AT52">
        <f t="shared" si="40"/>
        <v>-0.49434456902578583</v>
      </c>
      <c r="AU52">
        <f t="shared" si="41"/>
        <v>0.24382986829281378</v>
      </c>
      <c r="AV52">
        <f t="shared" si="42"/>
        <v>-2.2538387862468978E-2</v>
      </c>
      <c r="AW52">
        <f t="shared" si="43"/>
        <v>-0.48191683305652261</v>
      </c>
      <c r="AX52">
        <f t="shared" si="44"/>
        <v>1.685876936802682E-2</v>
      </c>
      <c r="AY52">
        <f t="shared" si="45"/>
        <v>-0.25451934851327546</v>
      </c>
      <c r="AZ52">
        <f t="shared" si="46"/>
        <v>1.5811497007072157</v>
      </c>
      <c r="BA52">
        <f t="shared" si="47"/>
        <v>0.86802507565119225</v>
      </c>
      <c r="BB52">
        <f t="shared" si="48"/>
        <v>1.6394509736223557</v>
      </c>
      <c r="BC52">
        <f t="shared" si="49"/>
        <v>1.6914520073192609</v>
      </c>
      <c r="BD52">
        <f t="shared" si="50"/>
        <v>0</v>
      </c>
    </row>
    <row r="53" spans="1:56" x14ac:dyDescent="0.2">
      <c r="A53" t="s">
        <v>96</v>
      </c>
      <c r="B53">
        <v>21575646</v>
      </c>
      <c r="C53">
        <v>16648406</v>
      </c>
      <c r="D53">
        <v>23378670</v>
      </c>
      <c r="E53">
        <v>15785412</v>
      </c>
      <c r="F53">
        <v>19720934</v>
      </c>
      <c r="G53">
        <v>20981400</v>
      </c>
      <c r="H53">
        <v>16673137</v>
      </c>
      <c r="I53">
        <v>23999202</v>
      </c>
      <c r="J53">
        <v>22947570</v>
      </c>
      <c r="K53">
        <v>16638276</v>
      </c>
      <c r="L53">
        <v>12526502</v>
      </c>
      <c r="M53">
        <v>20172996</v>
      </c>
      <c r="N53">
        <v>15397574</v>
      </c>
      <c r="O53">
        <v>12807088</v>
      </c>
      <c r="P53">
        <v>17166260</v>
      </c>
      <c r="Q53">
        <v>19307032</v>
      </c>
      <c r="R53" s="2" t="s">
        <v>368</v>
      </c>
      <c r="S53" s="4" t="s">
        <v>421</v>
      </c>
      <c r="T53">
        <f t="shared" si="15"/>
        <v>7.3339638078651248</v>
      </c>
      <c r="U53">
        <f t="shared" si="16"/>
        <v>7.2213726583502345</v>
      </c>
      <c r="V53">
        <f t="shared" si="17"/>
        <v>7.3688198007483781</v>
      </c>
      <c r="W53">
        <f t="shared" si="18"/>
        <v>7.1982559214826862</v>
      </c>
      <c r="X53">
        <f t="shared" si="19"/>
        <v>7.2949274796437535</v>
      </c>
      <c r="Y53">
        <f t="shared" si="20"/>
        <v>7.3218344634566419</v>
      </c>
      <c r="Z53">
        <f t="shared" si="21"/>
        <v>7.2220173187012922</v>
      </c>
      <c r="AA53">
        <f t="shared" si="22"/>
        <v>7.3801968011800074</v>
      </c>
      <c r="AB53">
        <f t="shared" si="23"/>
        <v>7.3607367033170412</v>
      </c>
      <c r="AC53">
        <f t="shared" si="24"/>
        <v>7.2211083242097818</v>
      </c>
      <c r="AD53">
        <f t="shared" si="25"/>
        <v>7.0978298120803904</v>
      </c>
      <c r="AE53">
        <f t="shared" si="26"/>
        <v>7.3047704024092397</v>
      </c>
      <c r="AF53">
        <f t="shared" si="27"/>
        <v>7.1874522999656971</v>
      </c>
      <c r="AG53">
        <f t="shared" si="28"/>
        <v>7.1074503936559665</v>
      </c>
      <c r="AH53">
        <f t="shared" si="29"/>
        <v>7.2346756860585426</v>
      </c>
      <c r="AI53">
        <f t="shared" si="30"/>
        <v>7.285715516394994</v>
      </c>
      <c r="AJ53" t="str">
        <f t="shared" si="31"/>
        <v>C02154</v>
      </c>
      <c r="AL53">
        <f t="shared" si="32"/>
        <v>7.2588204618449854</v>
      </c>
      <c r="AM53">
        <f t="shared" si="33"/>
        <v>8.6921069542475471E-2</v>
      </c>
      <c r="AN53">
        <f t="shared" si="34"/>
        <v>0.86450093648950443</v>
      </c>
      <c r="AO53">
        <f t="shared" si="35"/>
        <v>-0.43082538781292207</v>
      </c>
      <c r="AP53">
        <f t="shared" si="36"/>
        <v>1.2655083454724354</v>
      </c>
      <c r="AQ53">
        <f t="shared" si="37"/>
        <v>-0.69677629004212027</v>
      </c>
      <c r="AR53">
        <f t="shared" si="38"/>
        <v>0.41540006340032221</v>
      </c>
      <c r="AS53">
        <f t="shared" si="39"/>
        <v>0.72495658352275127</v>
      </c>
      <c r="AT53">
        <f t="shared" si="40"/>
        <v>-0.42340877001874411</v>
      </c>
      <c r="AU53">
        <f t="shared" si="41"/>
        <v>1.3963972138620473</v>
      </c>
      <c r="AV53">
        <f t="shared" si="42"/>
        <v>1.1725148115239503</v>
      </c>
      <c r="AW53">
        <f t="shared" si="43"/>
        <v>-0.43386647027824438</v>
      </c>
      <c r="AX53">
        <f t="shared" si="44"/>
        <v>-1.8521475933510476</v>
      </c>
      <c r="AY53">
        <f t="shared" si="45"/>
        <v>0.52863984309120871</v>
      </c>
      <c r="AZ53">
        <f t="shared" si="46"/>
        <v>-0.82106861149945953</v>
      </c>
      <c r="BA53">
        <f t="shared" si="47"/>
        <v>-1.7414657802277651</v>
      </c>
      <c r="BB53">
        <f t="shared" si="48"/>
        <v>-0.27777817177737379</v>
      </c>
      <c r="BC53">
        <f t="shared" si="49"/>
        <v>0.3094192776455183</v>
      </c>
      <c r="BD53" t="str">
        <f t="shared" si="50"/>
        <v>C02154</v>
      </c>
    </row>
    <row r="54" spans="1:56" x14ac:dyDescent="0.2">
      <c r="A54" t="s">
        <v>97</v>
      </c>
      <c r="B54">
        <v>21575646</v>
      </c>
      <c r="C54">
        <v>16648406</v>
      </c>
      <c r="D54">
        <v>23378670</v>
      </c>
      <c r="E54">
        <v>15785412</v>
      </c>
      <c r="F54">
        <v>19720934</v>
      </c>
      <c r="G54">
        <v>20981400</v>
      </c>
      <c r="H54">
        <v>16673137</v>
      </c>
      <c r="I54">
        <v>23999202</v>
      </c>
      <c r="J54">
        <v>22947570</v>
      </c>
      <c r="K54">
        <v>16638276</v>
      </c>
      <c r="L54">
        <v>12526502</v>
      </c>
      <c r="M54">
        <v>20172996</v>
      </c>
      <c r="N54">
        <v>15397574</v>
      </c>
      <c r="O54">
        <v>12807088</v>
      </c>
      <c r="P54">
        <v>17166260</v>
      </c>
      <c r="Q54">
        <v>19307032</v>
      </c>
      <c r="R54" s="2" t="s">
        <v>369</v>
      </c>
      <c r="S54" s="4" t="s">
        <v>421</v>
      </c>
      <c r="T54">
        <f t="shared" si="15"/>
        <v>7.3339638078651248</v>
      </c>
      <c r="U54">
        <f t="shared" si="16"/>
        <v>7.2213726583502345</v>
      </c>
      <c r="V54">
        <f t="shared" si="17"/>
        <v>7.3688198007483781</v>
      </c>
      <c r="W54">
        <f t="shared" si="18"/>
        <v>7.1982559214826862</v>
      </c>
      <c r="X54">
        <f t="shared" si="19"/>
        <v>7.2949274796437535</v>
      </c>
      <c r="Y54">
        <f t="shared" si="20"/>
        <v>7.3218344634566419</v>
      </c>
      <c r="Z54">
        <f t="shared" si="21"/>
        <v>7.2220173187012922</v>
      </c>
      <c r="AA54">
        <f t="shared" si="22"/>
        <v>7.3801968011800074</v>
      </c>
      <c r="AB54">
        <f t="shared" si="23"/>
        <v>7.3607367033170412</v>
      </c>
      <c r="AC54">
        <f t="shared" si="24"/>
        <v>7.2211083242097818</v>
      </c>
      <c r="AD54">
        <f t="shared" si="25"/>
        <v>7.0978298120803904</v>
      </c>
      <c r="AE54">
        <f t="shared" si="26"/>
        <v>7.3047704024092397</v>
      </c>
      <c r="AF54">
        <f t="shared" si="27"/>
        <v>7.1874522999656971</v>
      </c>
      <c r="AG54">
        <f t="shared" si="28"/>
        <v>7.1074503936559665</v>
      </c>
      <c r="AH54">
        <f t="shared" si="29"/>
        <v>7.2346756860585426</v>
      </c>
      <c r="AI54">
        <f t="shared" si="30"/>
        <v>7.285715516394994</v>
      </c>
      <c r="AJ54" t="str">
        <f t="shared" si="31"/>
        <v>C01432</v>
      </c>
      <c r="AL54">
        <f t="shared" si="32"/>
        <v>7.2588204618449854</v>
      </c>
      <c r="AM54">
        <f t="shared" si="33"/>
        <v>8.6921069542475471E-2</v>
      </c>
      <c r="AN54">
        <f t="shared" si="34"/>
        <v>0.86450093648950443</v>
      </c>
      <c r="AO54">
        <f t="shared" si="35"/>
        <v>-0.43082538781292207</v>
      </c>
      <c r="AP54">
        <f t="shared" si="36"/>
        <v>1.2655083454724354</v>
      </c>
      <c r="AQ54">
        <f t="shared" si="37"/>
        <v>-0.69677629004212027</v>
      </c>
      <c r="AR54">
        <f t="shared" si="38"/>
        <v>0.41540006340032221</v>
      </c>
      <c r="AS54">
        <f t="shared" si="39"/>
        <v>0.72495658352275127</v>
      </c>
      <c r="AT54">
        <f t="shared" si="40"/>
        <v>-0.42340877001874411</v>
      </c>
      <c r="AU54">
        <f t="shared" si="41"/>
        <v>1.3963972138620473</v>
      </c>
      <c r="AV54">
        <f t="shared" si="42"/>
        <v>1.1725148115239503</v>
      </c>
      <c r="AW54">
        <f t="shared" si="43"/>
        <v>-0.43386647027824438</v>
      </c>
      <c r="AX54">
        <f t="shared" si="44"/>
        <v>-1.8521475933510476</v>
      </c>
      <c r="AY54">
        <f t="shared" si="45"/>
        <v>0.52863984309120871</v>
      </c>
      <c r="AZ54">
        <f t="shared" si="46"/>
        <v>-0.82106861149945953</v>
      </c>
      <c r="BA54">
        <f t="shared" si="47"/>
        <v>-1.7414657802277651</v>
      </c>
      <c r="BB54">
        <f t="shared" si="48"/>
        <v>-0.27777817177737379</v>
      </c>
      <c r="BC54">
        <f t="shared" si="49"/>
        <v>0.3094192776455183</v>
      </c>
      <c r="BD54" t="str">
        <f t="shared" si="50"/>
        <v>C01432</v>
      </c>
    </row>
    <row r="55" spans="1:56" x14ac:dyDescent="0.2">
      <c r="A55" t="s">
        <v>98</v>
      </c>
      <c r="B55">
        <v>5321962.5</v>
      </c>
      <c r="C55">
        <v>5407504.5</v>
      </c>
      <c r="D55">
        <v>8679059</v>
      </c>
      <c r="E55">
        <v>3648937.5</v>
      </c>
      <c r="F55">
        <v>11649539</v>
      </c>
      <c r="G55">
        <v>7121185.5</v>
      </c>
      <c r="H55">
        <v>6616641.5</v>
      </c>
      <c r="I55">
        <v>9117264</v>
      </c>
      <c r="J55">
        <v>12642905</v>
      </c>
      <c r="K55">
        <v>7049416.5</v>
      </c>
      <c r="L55">
        <v>9470171</v>
      </c>
      <c r="M55">
        <v>10025977</v>
      </c>
      <c r="N55">
        <v>34780080</v>
      </c>
      <c r="O55">
        <v>19448346</v>
      </c>
      <c r="P55">
        <v>31135904</v>
      </c>
      <c r="Q55">
        <v>36748672</v>
      </c>
      <c r="R55" s="2" t="s">
        <v>370</v>
      </c>
      <c r="S55" s="4" t="s">
        <v>421</v>
      </c>
      <c r="T55">
        <f t="shared" si="15"/>
        <v>6.7260718100687242</v>
      </c>
      <c r="U55">
        <f t="shared" si="16"/>
        <v>6.7329968895210888</v>
      </c>
      <c r="V55">
        <f t="shared" si="17"/>
        <v>6.9384726406994046</v>
      </c>
      <c r="W55">
        <f t="shared" si="18"/>
        <v>6.5621664247136264</v>
      </c>
      <c r="X55">
        <f t="shared" si="19"/>
        <v>7.0663087396352147</v>
      </c>
      <c r="Y55">
        <f t="shared" si="20"/>
        <v>6.8525522988686767</v>
      </c>
      <c r="Z55">
        <f t="shared" si="21"/>
        <v>6.8206376045257819</v>
      </c>
      <c r="AA55">
        <f t="shared" si="22"/>
        <v>6.9598645304366844</v>
      </c>
      <c r="AB55">
        <f t="shared" si="23"/>
        <v>7.1018468746200218</v>
      </c>
      <c r="AC55">
        <f t="shared" si="24"/>
        <v>6.8481531707052055</v>
      </c>
      <c r="AD55">
        <f t="shared" si="25"/>
        <v>6.9763578209975625</v>
      </c>
      <c r="AE55">
        <f t="shared" si="26"/>
        <v>7.0011267039889296</v>
      </c>
      <c r="AF55">
        <f t="shared" si="27"/>
        <v>7.5413305766177743</v>
      </c>
      <c r="AG55">
        <f t="shared" si="28"/>
        <v>7.2888826723137896</v>
      </c>
      <c r="AH55">
        <f t="shared" si="29"/>
        <v>7.4932614795487362</v>
      </c>
      <c r="AI55">
        <f t="shared" si="30"/>
        <v>7.5652416494476196</v>
      </c>
      <c r="AJ55" t="str">
        <f t="shared" si="31"/>
        <v>C01904</v>
      </c>
      <c r="AL55">
        <f t="shared" si="32"/>
        <v>7.0297044929193024</v>
      </c>
      <c r="AM55">
        <f t="shared" si="33"/>
        <v>0.30120871239476887</v>
      </c>
      <c r="AN55">
        <f t="shared" si="34"/>
        <v>-1.008047477898423</v>
      </c>
      <c r="AO55">
        <f t="shared" si="35"/>
        <v>-0.98505651127827942</v>
      </c>
      <c r="AP55">
        <f t="shared" si="36"/>
        <v>-0.30288583452502504</v>
      </c>
      <c r="AQ55">
        <f t="shared" si="37"/>
        <v>-1.5522063239422945</v>
      </c>
      <c r="AR55">
        <f t="shared" si="38"/>
        <v>0.12152452837399379</v>
      </c>
      <c r="AS55">
        <f t="shared" si="39"/>
        <v>-0.58813768247993869</v>
      </c>
      <c r="AT55">
        <f t="shared" si="40"/>
        <v>-0.69409309820864062</v>
      </c>
      <c r="AU55">
        <f t="shared" si="41"/>
        <v>-0.23186567854347015</v>
      </c>
      <c r="AV55">
        <f t="shared" si="42"/>
        <v>0.23950961154858119</v>
      </c>
      <c r="AW55">
        <f t="shared" si="43"/>
        <v>-0.60274259921191442</v>
      </c>
      <c r="AX55">
        <f t="shared" si="44"/>
        <v>-0.1771086616240467</v>
      </c>
      <c r="AY55">
        <f t="shared" si="45"/>
        <v>-9.4877032948895532E-2</v>
      </c>
      <c r="AZ55">
        <f t="shared" si="46"/>
        <v>1.6985766435199479</v>
      </c>
      <c r="BA55">
        <f t="shared" si="47"/>
        <v>0.86046043400897443</v>
      </c>
      <c r="BB55">
        <f t="shared" si="48"/>
        <v>1.5389893039411446</v>
      </c>
      <c r="BC55">
        <f t="shared" si="49"/>
        <v>1.7779603792682919</v>
      </c>
      <c r="BD55" t="str">
        <f t="shared" si="50"/>
        <v>C01904</v>
      </c>
    </row>
    <row r="56" spans="1:56" x14ac:dyDescent="0.2">
      <c r="A56" t="s">
        <v>99</v>
      </c>
      <c r="B56">
        <v>67450304</v>
      </c>
      <c r="C56">
        <v>69544928</v>
      </c>
      <c r="D56">
        <v>79079704</v>
      </c>
      <c r="E56">
        <v>60898272</v>
      </c>
      <c r="F56">
        <v>52468064</v>
      </c>
      <c r="G56">
        <v>69359728</v>
      </c>
      <c r="H56">
        <v>33192120</v>
      </c>
      <c r="I56">
        <v>49079396</v>
      </c>
      <c r="J56">
        <v>37202660</v>
      </c>
      <c r="K56">
        <v>18430208</v>
      </c>
      <c r="L56">
        <v>17897136</v>
      </c>
      <c r="M56">
        <v>22171542</v>
      </c>
      <c r="N56">
        <v>11285247</v>
      </c>
      <c r="O56">
        <v>17939658</v>
      </c>
      <c r="P56">
        <v>16883092</v>
      </c>
      <c r="Q56">
        <v>12559435</v>
      </c>
      <c r="R56" s="2" t="s">
        <v>371</v>
      </c>
      <c r="S56" s="4" t="s">
        <v>421</v>
      </c>
      <c r="T56">
        <f t="shared" si="15"/>
        <v>7.828983911387092</v>
      </c>
      <c r="U56">
        <f t="shared" si="16"/>
        <v>7.8422654618343968</v>
      </c>
      <c r="V56">
        <f t="shared" si="17"/>
        <v>7.8980650350547954</v>
      </c>
      <c r="W56">
        <f t="shared" si="18"/>
        <v>7.7846049696195445</v>
      </c>
      <c r="X56">
        <f t="shared" si="19"/>
        <v>7.7198950396199351</v>
      </c>
      <c r="Y56">
        <f t="shared" si="20"/>
        <v>7.8411073813491994</v>
      </c>
      <c r="Z56">
        <f t="shared" si="21"/>
        <v>7.5210349919355108</v>
      </c>
      <c r="AA56">
        <f t="shared" si="22"/>
        <v>7.6908992094037609</v>
      </c>
      <c r="AB56">
        <f t="shared" si="23"/>
        <v>7.5705739931620455</v>
      </c>
      <c r="AC56">
        <f t="shared" si="24"/>
        <v>7.2655302366158452</v>
      </c>
      <c r="AD56">
        <f t="shared" si="25"/>
        <v>7.252783538303226</v>
      </c>
      <c r="AE56">
        <f t="shared" si="26"/>
        <v>7.3457958987438445</v>
      </c>
      <c r="AF56">
        <f t="shared" si="27"/>
        <v>7.0525110689133914</v>
      </c>
      <c r="AG56">
        <f t="shared" si="28"/>
        <v>7.2538141594366925</v>
      </c>
      <c r="AH56">
        <f t="shared" si="29"/>
        <v>7.2274519870506317</v>
      </c>
      <c r="AI56">
        <f t="shared" si="30"/>
        <v>7.098970102625584</v>
      </c>
      <c r="AJ56" t="str">
        <f t="shared" si="31"/>
        <v>C00294</v>
      </c>
      <c r="AL56">
        <f t="shared" si="32"/>
        <v>7.5121429365659669</v>
      </c>
      <c r="AM56">
        <f t="shared" si="33"/>
        <v>0.29494389426505707</v>
      </c>
      <c r="AN56">
        <f t="shared" si="34"/>
        <v>1.0742415116292927</v>
      </c>
      <c r="AO56">
        <f t="shared" si="35"/>
        <v>1.1192722808893234</v>
      </c>
      <c r="AP56">
        <f t="shared" si="36"/>
        <v>1.3084593578398072</v>
      </c>
      <c r="AQ56">
        <f t="shared" si="37"/>
        <v>0.92377580397960135</v>
      </c>
      <c r="AR56">
        <f t="shared" si="38"/>
        <v>0.7043783821043188</v>
      </c>
      <c r="AS56">
        <f t="shared" si="39"/>
        <v>1.1153458375632697</v>
      </c>
      <c r="AT56">
        <f t="shared" si="40"/>
        <v>3.014829444664802E-2</v>
      </c>
      <c r="AU56">
        <f t="shared" si="41"/>
        <v>0.60606873481215806</v>
      </c>
      <c r="AV56">
        <f t="shared" si="42"/>
        <v>0.19810905644165805</v>
      </c>
      <c r="AW56">
        <f t="shared" si="43"/>
        <v>-0.83613427755347391</v>
      </c>
      <c r="AX56">
        <f t="shared" si="44"/>
        <v>-0.87935164384065034</v>
      </c>
      <c r="AY56">
        <f t="shared" si="45"/>
        <v>-0.56399552951122067</v>
      </c>
      <c r="AZ56">
        <f t="shared" si="46"/>
        <v>-1.5583705124592895</v>
      </c>
      <c r="BA56">
        <f t="shared" si="47"/>
        <v>-0.87585734830341055</v>
      </c>
      <c r="BB56">
        <f t="shared" si="48"/>
        <v>-0.96523764367026388</v>
      </c>
      <c r="BC56">
        <f t="shared" si="49"/>
        <v>-1.400852304367681</v>
      </c>
      <c r="BD56" t="str">
        <f t="shared" si="50"/>
        <v>C00294</v>
      </c>
    </row>
    <row r="57" spans="1:56" x14ac:dyDescent="0.2">
      <c r="A57" t="s">
        <v>100</v>
      </c>
      <c r="B57">
        <v>128572.1406</v>
      </c>
      <c r="C57">
        <v>72896.75</v>
      </c>
      <c r="D57">
        <v>117233.5781</v>
      </c>
      <c r="E57">
        <v>55147.378909999999</v>
      </c>
      <c r="F57">
        <v>121817.55469999999</v>
      </c>
      <c r="G57">
        <v>46648.03125</v>
      </c>
      <c r="H57">
        <v>94541.609379999994</v>
      </c>
      <c r="I57">
        <v>96081.984379999994</v>
      </c>
      <c r="J57">
        <v>165545.8438</v>
      </c>
      <c r="K57">
        <v>73775.929690000004</v>
      </c>
      <c r="L57">
        <v>124558.1719</v>
      </c>
      <c r="M57">
        <v>127683.0938</v>
      </c>
      <c r="N57">
        <v>76909.898440000004</v>
      </c>
      <c r="O57">
        <v>112487.88280000001</v>
      </c>
      <c r="P57">
        <v>101240.3906</v>
      </c>
      <c r="Q57">
        <v>67846.1875</v>
      </c>
      <c r="R57" s="2" t="s">
        <v>101</v>
      </c>
      <c r="S57" s="4" t="s">
        <v>421</v>
      </c>
      <c r="T57">
        <f t="shared" si="15"/>
        <v>5.1091468745412492</v>
      </c>
      <c r="U57">
        <f t="shared" si="16"/>
        <v>4.862708166335401</v>
      </c>
      <c r="V57">
        <f t="shared" si="17"/>
        <v>5.0690520203419638</v>
      </c>
      <c r="W57">
        <f t="shared" si="18"/>
        <v>4.7415248757612547</v>
      </c>
      <c r="X57">
        <f t="shared" si="19"/>
        <v>5.0857098774593172</v>
      </c>
      <c r="Y57">
        <f t="shared" si="20"/>
        <v>4.6688333193514637</v>
      </c>
      <c r="Z57">
        <f t="shared" si="21"/>
        <v>4.9756229910164427</v>
      </c>
      <c r="AA57">
        <f t="shared" si="22"/>
        <v>4.9826419639658788</v>
      </c>
      <c r="AB57">
        <f t="shared" si="23"/>
        <v>5.2189182818118329</v>
      </c>
      <c r="AC57">
        <f t="shared" si="24"/>
        <v>4.8679146909838291</v>
      </c>
      <c r="AD57">
        <f t="shared" si="25"/>
        <v>5.0953722256072016</v>
      </c>
      <c r="AE57">
        <f t="shared" si="26"/>
        <v>5.1061333972208605</v>
      </c>
      <c r="AF57">
        <f t="shared" si="27"/>
        <v>4.8859822378667825</v>
      </c>
      <c r="AG57">
        <f t="shared" si="28"/>
        <v>5.0511057427449746</v>
      </c>
      <c r="AH57">
        <f t="shared" si="29"/>
        <v>5.0053538120600747</v>
      </c>
      <c r="AI57">
        <f t="shared" si="30"/>
        <v>4.8315254482487795</v>
      </c>
      <c r="AJ57" t="str">
        <f t="shared" si="31"/>
        <v>C06414</v>
      </c>
      <c r="AL57">
        <f t="shared" si="32"/>
        <v>4.9723466203323321</v>
      </c>
      <c r="AM57">
        <f t="shared" si="33"/>
        <v>0.15006076311919753</v>
      </c>
      <c r="AN57">
        <f t="shared" si="34"/>
        <v>0.9116324038699759</v>
      </c>
      <c r="AO57">
        <f t="shared" si="35"/>
        <v>-0.73062705878579415</v>
      </c>
      <c r="AP57">
        <f t="shared" si="36"/>
        <v>0.64444161151450252</v>
      </c>
      <c r="AQ57">
        <f t="shared" si="37"/>
        <v>-1.5381885295873721</v>
      </c>
      <c r="AR57">
        <f t="shared" si="38"/>
        <v>0.7554490245857105</v>
      </c>
      <c r="AS57">
        <f t="shared" si="39"/>
        <v>-2.0226026755560289</v>
      </c>
      <c r="AT57">
        <f t="shared" si="40"/>
        <v>2.1833626698992994E-2</v>
      </c>
      <c r="AU57">
        <f t="shared" si="41"/>
        <v>6.8607832051132439E-2</v>
      </c>
      <c r="AV57">
        <f t="shared" si="42"/>
        <v>1.6431454589074823</v>
      </c>
      <c r="AW57">
        <f t="shared" si="43"/>
        <v>-0.69593094942180012</v>
      </c>
      <c r="AX57">
        <f t="shared" si="44"/>
        <v>0.81983859549712379</v>
      </c>
      <c r="AY57">
        <f t="shared" si="45"/>
        <v>0.89155068991790831</v>
      </c>
      <c r="AZ57">
        <f t="shared" si="46"/>
        <v>-0.57552941002271107</v>
      </c>
      <c r="BA57">
        <f t="shared" si="47"/>
        <v>0.52484820665667198</v>
      </c>
      <c r="BB57">
        <f t="shared" si="48"/>
        <v>0.21995884228260273</v>
      </c>
      <c r="BC57">
        <f t="shared" si="49"/>
        <v>-0.93842766860844462</v>
      </c>
      <c r="BD57" t="str">
        <f t="shared" si="50"/>
        <v>C06414</v>
      </c>
    </row>
    <row r="58" spans="1:56" x14ac:dyDescent="0.2">
      <c r="A58" t="s">
        <v>102</v>
      </c>
      <c r="B58">
        <v>1762494.625</v>
      </c>
      <c r="C58">
        <v>3598817</v>
      </c>
      <c r="D58">
        <v>1550955.5</v>
      </c>
      <c r="E58">
        <v>1548484.625</v>
      </c>
      <c r="F58">
        <v>1752251.25</v>
      </c>
      <c r="G58">
        <v>1215001</v>
      </c>
      <c r="H58">
        <v>1285020.75</v>
      </c>
      <c r="I58">
        <v>1920931.375</v>
      </c>
      <c r="J58">
        <v>4623727</v>
      </c>
      <c r="K58">
        <v>2701875.5</v>
      </c>
      <c r="L58">
        <v>3437823.5</v>
      </c>
      <c r="M58">
        <v>4370868</v>
      </c>
      <c r="N58">
        <v>883695.625</v>
      </c>
      <c r="O58">
        <v>1671220.75</v>
      </c>
      <c r="P58">
        <v>1275553.625</v>
      </c>
      <c r="Q58">
        <v>1042858.875</v>
      </c>
      <c r="R58" s="2" t="s">
        <v>372</v>
      </c>
      <c r="S58" s="4" t="s">
        <v>421</v>
      </c>
      <c r="T58">
        <f t="shared" si="15"/>
        <v>6.2461278012172521</v>
      </c>
      <c r="U58">
        <f t="shared" si="16"/>
        <v>6.5561597633211992</v>
      </c>
      <c r="V58">
        <f t="shared" si="17"/>
        <v>6.1905993372193473</v>
      </c>
      <c r="W58">
        <f t="shared" si="18"/>
        <v>6.189906897577333</v>
      </c>
      <c r="X58">
        <f t="shared" si="19"/>
        <v>6.2435963784674859</v>
      </c>
      <c r="Y58">
        <f t="shared" si="20"/>
        <v>6.0845766353782018</v>
      </c>
      <c r="Z58">
        <f t="shared" si="21"/>
        <v>6.1089101405371506</v>
      </c>
      <c r="AA58">
        <f t="shared" si="22"/>
        <v>6.2835118500302638</v>
      </c>
      <c r="AB58">
        <f t="shared" si="23"/>
        <v>6.6649921839994866</v>
      </c>
      <c r="AC58">
        <f t="shared" si="24"/>
        <v>6.4316653332468121</v>
      </c>
      <c r="AD58">
        <f t="shared" si="25"/>
        <v>6.5362835759741493</v>
      </c>
      <c r="AE58">
        <f t="shared" si="26"/>
        <v>6.6405676910155647</v>
      </c>
      <c r="AF58">
        <f t="shared" si="27"/>
        <v>5.9463027048938235</v>
      </c>
      <c r="AG58">
        <f t="shared" si="28"/>
        <v>6.2230338192380223</v>
      </c>
      <c r="AH58">
        <f t="shared" si="29"/>
        <v>6.1056987213166778</v>
      </c>
      <c r="AI58">
        <f t="shared" si="30"/>
        <v>6.018225541450887</v>
      </c>
      <c r="AJ58" t="str">
        <f t="shared" si="31"/>
        <v>C00253</v>
      </c>
      <c r="AL58">
        <f t="shared" si="32"/>
        <v>6.2793848984302292</v>
      </c>
      <c r="AM58">
        <f t="shared" si="33"/>
        <v>0.22252068675671524</v>
      </c>
      <c r="AN58">
        <f t="shared" si="34"/>
        <v>-0.14945620426444894</v>
      </c>
      <c r="AO58">
        <f t="shared" si="35"/>
        <v>1.2438163342250133</v>
      </c>
      <c r="AP58">
        <f t="shared" si="36"/>
        <v>-0.39899913354101901</v>
      </c>
      <c r="AQ58">
        <f t="shared" si="37"/>
        <v>-0.4021109325027547</v>
      </c>
      <c r="AR58">
        <f t="shared" si="38"/>
        <v>-0.16083232747646195</v>
      </c>
      <c r="AS58">
        <f t="shared" si="39"/>
        <v>-0.87546135998139252</v>
      </c>
      <c r="AT58">
        <f t="shared" si="40"/>
        <v>-0.76610745894138288</v>
      </c>
      <c r="AU58">
        <f t="shared" si="41"/>
        <v>1.854637274487056E-2</v>
      </c>
      <c r="AV58">
        <f t="shared" si="42"/>
        <v>1.7329053365310114</v>
      </c>
      <c r="AW58">
        <f t="shared" si="43"/>
        <v>0.68434282239598299</v>
      </c>
      <c r="AX58">
        <f t="shared" si="44"/>
        <v>1.1544934598588168</v>
      </c>
      <c r="AY58">
        <f t="shared" si="45"/>
        <v>1.6231425394629548</v>
      </c>
      <c r="AZ58">
        <f t="shared" si="46"/>
        <v>-1.4968594533440784</v>
      </c>
      <c r="BA58">
        <f t="shared" si="47"/>
        <v>-0.2532397325099765</v>
      </c>
      <c r="BB58">
        <f t="shared" si="48"/>
        <v>-0.78053946194874346</v>
      </c>
      <c r="BC58">
        <f t="shared" si="49"/>
        <v>-1.1736408007084356</v>
      </c>
      <c r="BD58" t="str">
        <f t="shared" si="50"/>
        <v>C00253</v>
      </c>
    </row>
    <row r="59" spans="1:56" x14ac:dyDescent="0.2">
      <c r="A59" t="s">
        <v>104</v>
      </c>
      <c r="B59">
        <v>257011</v>
      </c>
      <c r="C59">
        <v>110189.7656</v>
      </c>
      <c r="D59">
        <v>259000.4062</v>
      </c>
      <c r="E59">
        <v>228499.4688</v>
      </c>
      <c r="F59">
        <v>586626.3125</v>
      </c>
      <c r="G59">
        <v>545374.25</v>
      </c>
      <c r="H59">
        <v>260665.95310000001</v>
      </c>
      <c r="I59">
        <v>282234.625</v>
      </c>
      <c r="J59">
        <v>245048.76560000001</v>
      </c>
      <c r="K59">
        <v>85523.03125</v>
      </c>
      <c r="L59">
        <v>105519.16409999999</v>
      </c>
      <c r="M59">
        <v>89368.601559999996</v>
      </c>
      <c r="N59">
        <v>113671.1562</v>
      </c>
      <c r="O59">
        <v>85609.015620000006</v>
      </c>
      <c r="P59">
        <v>78591.226559999996</v>
      </c>
      <c r="Q59">
        <v>141444.4688</v>
      </c>
      <c r="R59" s="2" t="s">
        <v>373</v>
      </c>
      <c r="S59" s="4" t="s">
        <v>421</v>
      </c>
      <c r="T59">
        <f t="shared" si="15"/>
        <v>5.4099517114132682</v>
      </c>
      <c r="U59">
        <f t="shared" si="16"/>
        <v>5.0421412592176482</v>
      </c>
      <c r="V59">
        <f t="shared" si="17"/>
        <v>5.413300445202025</v>
      </c>
      <c r="W59">
        <f t="shared" si="18"/>
        <v>5.3588851947888143</v>
      </c>
      <c r="X59">
        <f t="shared" si="19"/>
        <v>5.7683615388989997</v>
      </c>
      <c r="Y59">
        <f t="shared" si="20"/>
        <v>5.7366946287524554</v>
      </c>
      <c r="Z59">
        <f t="shared" si="21"/>
        <v>5.416084309471298</v>
      </c>
      <c r="AA59">
        <f t="shared" si="22"/>
        <v>5.4506102926358668</v>
      </c>
      <c r="AB59">
        <f t="shared" si="23"/>
        <v>5.3892525191544687</v>
      </c>
      <c r="AC59">
        <f t="shared" si="24"/>
        <v>4.9320830854633266</v>
      </c>
      <c r="AD59">
        <f t="shared" si="25"/>
        <v>5.0233313421649646</v>
      </c>
      <c r="AE59">
        <f t="shared" si="26"/>
        <v>4.9511849621472264</v>
      </c>
      <c r="AF59">
        <f t="shared" si="27"/>
        <v>5.0556502774198888</v>
      </c>
      <c r="AG59">
        <f t="shared" si="28"/>
        <v>4.9325195033201377</v>
      </c>
      <c r="AH59">
        <f t="shared" si="29"/>
        <v>4.8953740667868866</v>
      </c>
      <c r="AI59">
        <f t="shared" si="30"/>
        <v>5.1505859689962179</v>
      </c>
      <c r="AJ59" t="str">
        <f t="shared" si="31"/>
        <v>C03672</v>
      </c>
      <c r="AL59">
        <f t="shared" si="32"/>
        <v>5.2453756941145926</v>
      </c>
      <c r="AM59">
        <f t="shared" si="33"/>
        <v>0.2846880669950122</v>
      </c>
      <c r="AN59">
        <f t="shared" si="34"/>
        <v>0.57809243301216084</v>
      </c>
      <c r="AO59">
        <f t="shared" si="35"/>
        <v>-0.71388462833078659</v>
      </c>
      <c r="AP59">
        <f t="shared" si="36"/>
        <v>0.58985525055524901</v>
      </c>
      <c r="AQ59">
        <f t="shared" si="37"/>
        <v>0.39871534438501927</v>
      </c>
      <c r="AR59">
        <f t="shared" si="38"/>
        <v>1.8370487049377098</v>
      </c>
      <c r="AS59">
        <f t="shared" si="39"/>
        <v>1.7258149940175427</v>
      </c>
      <c r="AT59">
        <f t="shared" si="40"/>
        <v>0.59963389810678758</v>
      </c>
      <c r="AU59">
        <f t="shared" si="41"/>
        <v>0.72091043606991079</v>
      </c>
      <c r="AV59">
        <f t="shared" si="42"/>
        <v>0.50538410885482199</v>
      </c>
      <c r="AW59">
        <f t="shared" si="43"/>
        <v>-1.1004767848480101</v>
      </c>
      <c r="AX59">
        <f t="shared" si="44"/>
        <v>-0.77995665323590213</v>
      </c>
      <c r="AY59">
        <f t="shared" si="45"/>
        <v>-1.0333792177264687</v>
      </c>
      <c r="AZ59">
        <f t="shared" si="46"/>
        <v>-0.6664326281650147</v>
      </c>
      <c r="BA59">
        <f t="shared" si="47"/>
        <v>-1.0989438162855496</v>
      </c>
      <c r="BB59">
        <f t="shared" si="48"/>
        <v>-1.2294214893588713</v>
      </c>
      <c r="BC59">
        <f t="shared" si="49"/>
        <v>-0.33295995198855816</v>
      </c>
      <c r="BD59" t="str">
        <f t="shared" si="50"/>
        <v>C03672</v>
      </c>
    </row>
    <row r="60" spans="1:56" x14ac:dyDescent="0.2">
      <c r="A60" t="s">
        <v>105</v>
      </c>
      <c r="B60">
        <v>1762494.625</v>
      </c>
      <c r="C60">
        <v>3598817</v>
      </c>
      <c r="D60">
        <v>1550955.5</v>
      </c>
      <c r="E60">
        <v>1548484.625</v>
      </c>
      <c r="F60">
        <v>1752251.25</v>
      </c>
      <c r="G60">
        <v>1215001</v>
      </c>
      <c r="H60">
        <v>1285020.75</v>
      </c>
      <c r="I60">
        <v>1920931.375</v>
      </c>
      <c r="J60">
        <v>4623727</v>
      </c>
      <c r="K60">
        <v>2701875.5</v>
      </c>
      <c r="L60">
        <v>3437823.5</v>
      </c>
      <c r="M60">
        <v>4370868</v>
      </c>
      <c r="N60">
        <v>883695.625</v>
      </c>
      <c r="O60">
        <v>1671220.75</v>
      </c>
      <c r="P60">
        <v>1275553.625</v>
      </c>
      <c r="Q60">
        <v>1042858.875</v>
      </c>
      <c r="R60" s="2" t="s">
        <v>106</v>
      </c>
      <c r="S60" s="4" t="s">
        <v>421</v>
      </c>
      <c r="T60">
        <f t="shared" si="15"/>
        <v>6.2461278012172521</v>
      </c>
      <c r="U60">
        <f t="shared" si="16"/>
        <v>6.5561597633211992</v>
      </c>
      <c r="V60">
        <f t="shared" si="17"/>
        <v>6.1905993372193473</v>
      </c>
      <c r="W60">
        <f t="shared" si="18"/>
        <v>6.189906897577333</v>
      </c>
      <c r="X60">
        <f t="shared" si="19"/>
        <v>6.2435963784674859</v>
      </c>
      <c r="Y60">
        <f t="shared" si="20"/>
        <v>6.0845766353782018</v>
      </c>
      <c r="Z60">
        <f t="shared" si="21"/>
        <v>6.1089101405371506</v>
      </c>
      <c r="AA60">
        <f t="shared" si="22"/>
        <v>6.2835118500302638</v>
      </c>
      <c r="AB60">
        <f t="shared" si="23"/>
        <v>6.6649921839994866</v>
      </c>
      <c r="AC60">
        <f t="shared" si="24"/>
        <v>6.4316653332468121</v>
      </c>
      <c r="AD60">
        <f t="shared" si="25"/>
        <v>6.5362835759741493</v>
      </c>
      <c r="AE60">
        <f t="shared" si="26"/>
        <v>6.6405676910155647</v>
      </c>
      <c r="AF60">
        <f t="shared" si="27"/>
        <v>5.9463027048938235</v>
      </c>
      <c r="AG60">
        <f t="shared" si="28"/>
        <v>6.2230338192380223</v>
      </c>
      <c r="AH60">
        <f t="shared" si="29"/>
        <v>6.1056987213166778</v>
      </c>
      <c r="AI60">
        <f t="shared" si="30"/>
        <v>6.018225541450887</v>
      </c>
      <c r="AJ60" t="str">
        <f t="shared" si="31"/>
        <v>C07446</v>
      </c>
      <c r="AL60">
        <f t="shared" si="32"/>
        <v>6.2793848984302292</v>
      </c>
      <c r="AM60">
        <f t="shared" si="33"/>
        <v>0.22252068675671524</v>
      </c>
      <c r="AN60">
        <f t="shared" si="34"/>
        <v>-0.14945620426444894</v>
      </c>
      <c r="AO60">
        <f t="shared" si="35"/>
        <v>1.2438163342250133</v>
      </c>
      <c r="AP60">
        <f t="shared" si="36"/>
        <v>-0.39899913354101901</v>
      </c>
      <c r="AQ60">
        <f t="shared" si="37"/>
        <v>-0.4021109325027547</v>
      </c>
      <c r="AR60">
        <f t="shared" si="38"/>
        <v>-0.16083232747646195</v>
      </c>
      <c r="AS60">
        <f t="shared" si="39"/>
        <v>-0.87546135998139252</v>
      </c>
      <c r="AT60">
        <f t="shared" si="40"/>
        <v>-0.76610745894138288</v>
      </c>
      <c r="AU60">
        <f t="shared" si="41"/>
        <v>1.854637274487056E-2</v>
      </c>
      <c r="AV60">
        <f t="shared" si="42"/>
        <v>1.7329053365310114</v>
      </c>
      <c r="AW60">
        <f t="shared" si="43"/>
        <v>0.68434282239598299</v>
      </c>
      <c r="AX60">
        <f t="shared" si="44"/>
        <v>1.1544934598588168</v>
      </c>
      <c r="AY60">
        <f t="shared" si="45"/>
        <v>1.6231425394629548</v>
      </c>
      <c r="AZ60">
        <f t="shared" si="46"/>
        <v>-1.4968594533440784</v>
      </c>
      <c r="BA60">
        <f t="shared" si="47"/>
        <v>-0.2532397325099765</v>
      </c>
      <c r="BB60">
        <f t="shared" si="48"/>
        <v>-0.78053946194874346</v>
      </c>
      <c r="BC60">
        <f t="shared" si="49"/>
        <v>-1.1736408007084356</v>
      </c>
      <c r="BD60" t="str">
        <f t="shared" si="50"/>
        <v>C07446</v>
      </c>
    </row>
    <row r="61" spans="1:56" x14ac:dyDescent="0.2">
      <c r="A61" t="s">
        <v>107</v>
      </c>
      <c r="B61">
        <v>83831312</v>
      </c>
      <c r="C61">
        <v>30900360</v>
      </c>
      <c r="D61">
        <v>54095176</v>
      </c>
      <c r="E61">
        <v>54513996</v>
      </c>
      <c r="F61">
        <v>108778416</v>
      </c>
      <c r="G61">
        <v>66324684</v>
      </c>
      <c r="H61">
        <v>75606040</v>
      </c>
      <c r="I61">
        <v>65658232</v>
      </c>
      <c r="J61">
        <v>13483593</v>
      </c>
      <c r="K61">
        <v>14492685</v>
      </c>
      <c r="L61">
        <v>10465284</v>
      </c>
      <c r="M61">
        <v>12211630</v>
      </c>
      <c r="N61">
        <v>31030902</v>
      </c>
      <c r="O61">
        <v>30228986</v>
      </c>
      <c r="P61">
        <v>31292348</v>
      </c>
      <c r="Q61">
        <v>42363904</v>
      </c>
      <c r="R61" s="2" t="s">
        <v>108</v>
      </c>
      <c r="S61" s="4" t="s">
        <v>421</v>
      </c>
      <c r="T61">
        <f t="shared" si="15"/>
        <v>7.9234062631275997</v>
      </c>
      <c r="U61">
        <f t="shared" si="16"/>
        <v>7.4899635391368973</v>
      </c>
      <c r="V61">
        <f t="shared" si="17"/>
        <v>7.7331585381196639</v>
      </c>
      <c r="W61">
        <f t="shared" si="18"/>
        <v>7.7365080179686663</v>
      </c>
      <c r="X61">
        <f t="shared" si="19"/>
        <v>8.0365427304538901</v>
      </c>
      <c r="Y61">
        <f t="shared" si="20"/>
        <v>7.821675189489147</v>
      </c>
      <c r="Z61">
        <f t="shared" si="21"/>
        <v>7.8785564917166759</v>
      </c>
      <c r="AA61">
        <f t="shared" si="22"/>
        <v>7.8172891841657588</v>
      </c>
      <c r="AB61">
        <f t="shared" si="23"/>
        <v>7.1298056349404639</v>
      </c>
      <c r="AC61">
        <f t="shared" si="24"/>
        <v>7.1611488528735041</v>
      </c>
      <c r="AD61">
        <f t="shared" si="25"/>
        <v>7.0197510184328795</v>
      </c>
      <c r="AE61">
        <f t="shared" si="26"/>
        <v>7.086773637143768</v>
      </c>
      <c r="AF61">
        <f t="shared" si="27"/>
        <v>7.4917943997520418</v>
      </c>
      <c r="AG61">
        <f t="shared" si="28"/>
        <v>7.4804235794639391</v>
      </c>
      <c r="AH61">
        <f t="shared" si="29"/>
        <v>7.4954381513592141</v>
      </c>
      <c r="AI61">
        <f t="shared" si="30"/>
        <v>7.6269959752204359</v>
      </c>
      <c r="AJ61" t="str">
        <f t="shared" si="31"/>
        <v>C00022</v>
      </c>
      <c r="AL61">
        <f t="shared" si="32"/>
        <v>7.5580769502102854</v>
      </c>
      <c r="AM61">
        <f t="shared" si="33"/>
        <v>0.32050944184381708</v>
      </c>
      <c r="AN61">
        <f t="shared" si="34"/>
        <v>1.1398394718597331</v>
      </c>
      <c r="AO61">
        <f t="shared" si="35"/>
        <v>-0.21251608277605585</v>
      </c>
      <c r="AP61">
        <f t="shared" si="36"/>
        <v>0.54626031265155395</v>
      </c>
      <c r="AQ61">
        <f t="shared" si="37"/>
        <v>0.55671079994370221</v>
      </c>
      <c r="AR61">
        <f t="shared" si="38"/>
        <v>1.4928289709379581</v>
      </c>
      <c r="AS61">
        <f t="shared" si="39"/>
        <v>0.82243517620710826</v>
      </c>
      <c r="AT61">
        <f t="shared" si="40"/>
        <v>0.99990670996381736</v>
      </c>
      <c r="AU61">
        <f t="shared" si="41"/>
        <v>0.80875069534390343</v>
      </c>
      <c r="AV61">
        <f t="shared" si="42"/>
        <v>-1.3362205893407542</v>
      </c>
      <c r="AW61">
        <f t="shared" si="43"/>
        <v>-1.238428718521817</v>
      </c>
      <c r="AX61">
        <f t="shared" si="44"/>
        <v>-1.6795946125035837</v>
      </c>
      <c r="AY61">
        <f t="shared" si="45"/>
        <v>-1.4704818377743192</v>
      </c>
      <c r="AZ61">
        <f t="shared" si="46"/>
        <v>-0.2068037374404178</v>
      </c>
      <c r="BA61">
        <f t="shared" si="47"/>
        <v>-0.24228107072173688</v>
      </c>
      <c r="BB61">
        <f t="shared" si="48"/>
        <v>-0.1954351125842804</v>
      </c>
      <c r="BC61">
        <f t="shared" si="49"/>
        <v>0.21502962475512508</v>
      </c>
      <c r="BD61" t="str">
        <f t="shared" si="50"/>
        <v>C00022</v>
      </c>
    </row>
    <row r="62" spans="1:56" x14ac:dyDescent="0.2">
      <c r="A62" t="s">
        <v>109</v>
      </c>
      <c r="B62">
        <v>7315614.5</v>
      </c>
      <c r="C62">
        <v>3762474.25</v>
      </c>
      <c r="D62">
        <v>7782097</v>
      </c>
      <c r="E62">
        <v>7785598</v>
      </c>
      <c r="F62">
        <v>8453777</v>
      </c>
      <c r="G62">
        <v>4350937.5</v>
      </c>
      <c r="H62">
        <v>6364259</v>
      </c>
      <c r="I62">
        <v>7747416.5</v>
      </c>
      <c r="J62">
        <v>16593442</v>
      </c>
      <c r="K62">
        <v>5797578</v>
      </c>
      <c r="L62">
        <v>4095703.75</v>
      </c>
      <c r="M62">
        <v>7392899.5</v>
      </c>
      <c r="N62">
        <v>7285784.5</v>
      </c>
      <c r="O62">
        <v>10588302</v>
      </c>
      <c r="P62">
        <v>9260936</v>
      </c>
      <c r="Q62">
        <v>7372978.5</v>
      </c>
      <c r="R62" s="2" t="s">
        <v>110</v>
      </c>
      <c r="S62" s="4" t="s">
        <v>421</v>
      </c>
      <c r="T62">
        <f t="shared" si="15"/>
        <v>6.8642508120403205</v>
      </c>
      <c r="U62">
        <f t="shared" si="16"/>
        <v>6.5754735363437797</v>
      </c>
      <c r="V62">
        <f t="shared" si="17"/>
        <v>6.8910966397679294</v>
      </c>
      <c r="W62">
        <f t="shared" si="18"/>
        <v>6.8912919756871869</v>
      </c>
      <c r="X62">
        <f t="shared" si="19"/>
        <v>6.9270507875021305</v>
      </c>
      <c r="Y62">
        <f t="shared" si="20"/>
        <v>6.638582844818786</v>
      </c>
      <c r="Z62">
        <f t="shared" si="21"/>
        <v>6.8037478453903191</v>
      </c>
      <c r="AA62">
        <f t="shared" si="22"/>
        <v>6.8891569042033947</v>
      </c>
      <c r="AB62">
        <f t="shared" si="23"/>
        <v>7.2199364816577232</v>
      </c>
      <c r="AC62">
        <f t="shared" si="24"/>
        <v>6.7632466003012643</v>
      </c>
      <c r="AD62">
        <f t="shared" si="25"/>
        <v>6.6123285357623907</v>
      </c>
      <c r="AE62">
        <f t="shared" si="26"/>
        <v>6.8688148023841675</v>
      </c>
      <c r="AF62">
        <f t="shared" si="27"/>
        <v>6.8624763214701368</v>
      </c>
      <c r="AG62">
        <f t="shared" si="28"/>
        <v>7.0248263197716492</v>
      </c>
      <c r="AH62">
        <f t="shared" si="29"/>
        <v>6.9666548829121693</v>
      </c>
      <c r="AI62">
        <f t="shared" si="30"/>
        <v>6.8676429674789867</v>
      </c>
      <c r="AJ62" t="str">
        <f t="shared" si="31"/>
        <v>C00242</v>
      </c>
      <c r="AL62">
        <f t="shared" si="32"/>
        <v>6.8541611410932708</v>
      </c>
      <c r="AM62">
        <f t="shared" si="33"/>
        <v>0.15892383038220381</v>
      </c>
      <c r="AN62">
        <f t="shared" si="34"/>
        <v>6.3487463917680315E-2</v>
      </c>
      <c r="AO62">
        <f t="shared" si="35"/>
        <v>-1.7535922968837423</v>
      </c>
      <c r="AP62">
        <f t="shared" si="36"/>
        <v>0.23241007082342907</v>
      </c>
      <c r="AQ62">
        <f t="shared" si="37"/>
        <v>0.23363918743097431</v>
      </c>
      <c r="AR62">
        <f t="shared" si="38"/>
        <v>0.45864516500491981</v>
      </c>
      <c r="AS62">
        <f t="shared" si="39"/>
        <v>-1.3564881727053131</v>
      </c>
      <c r="AT62">
        <f t="shared" si="40"/>
        <v>-0.31721671684926223</v>
      </c>
      <c r="AU62">
        <f t="shared" si="41"/>
        <v>0.22020462900976409</v>
      </c>
      <c r="AV62">
        <f t="shared" si="42"/>
        <v>2.3015764198785109</v>
      </c>
      <c r="AW62">
        <f t="shared" si="43"/>
        <v>-0.57206361420663943</v>
      </c>
      <c r="AX62">
        <f t="shared" si="44"/>
        <v>-1.5216887533435666</v>
      </c>
      <c r="AY62">
        <f t="shared" si="45"/>
        <v>9.2205563228972123E-2</v>
      </c>
      <c r="AZ62">
        <f t="shared" si="46"/>
        <v>5.2321796906532964E-2</v>
      </c>
      <c r="BA62">
        <f t="shared" si="47"/>
        <v>1.0738803505297929</v>
      </c>
      <c r="BB62">
        <f t="shared" si="48"/>
        <v>0.70784690721559318</v>
      </c>
      <c r="BC62">
        <f t="shared" si="49"/>
        <v>8.4832000042365074E-2</v>
      </c>
      <c r="BD62" t="str">
        <f t="shared" si="50"/>
        <v>C00242</v>
      </c>
    </row>
    <row r="63" spans="1:56" x14ac:dyDescent="0.2">
      <c r="A63" t="s">
        <v>111</v>
      </c>
      <c r="B63">
        <v>1676106.5</v>
      </c>
      <c r="C63">
        <v>1149110.75</v>
      </c>
      <c r="D63">
        <v>1421124.25</v>
      </c>
      <c r="E63">
        <v>1465843</v>
      </c>
      <c r="F63">
        <v>2323443</v>
      </c>
      <c r="G63">
        <v>1456276</v>
      </c>
      <c r="H63">
        <v>1400123</v>
      </c>
      <c r="I63">
        <v>1695328.75</v>
      </c>
      <c r="J63">
        <v>1264777.5</v>
      </c>
      <c r="K63">
        <v>702998</v>
      </c>
      <c r="L63">
        <v>893800.125</v>
      </c>
      <c r="M63">
        <v>1159473</v>
      </c>
      <c r="N63">
        <v>1197530.625</v>
      </c>
      <c r="O63">
        <v>1641086</v>
      </c>
      <c r="P63">
        <v>1636820.375</v>
      </c>
      <c r="Q63">
        <v>1240031.5</v>
      </c>
      <c r="R63" s="2" t="s">
        <v>374</v>
      </c>
      <c r="S63" s="4" t="s">
        <v>421</v>
      </c>
      <c r="T63">
        <f t="shared" si="15"/>
        <v>6.2243016102923789</v>
      </c>
      <c r="U63">
        <f t="shared" si="16"/>
        <v>6.0603618875185505</v>
      </c>
      <c r="V63">
        <f t="shared" si="17"/>
        <v>6.1526320502922678</v>
      </c>
      <c r="W63">
        <f t="shared" si="18"/>
        <v>6.166087457423127</v>
      </c>
      <c r="X63">
        <f t="shared" si="19"/>
        <v>6.3661320225910378</v>
      </c>
      <c r="Y63">
        <f t="shared" si="20"/>
        <v>6.1632436922281055</v>
      </c>
      <c r="Z63">
        <f t="shared" si="21"/>
        <v>6.1461661898745419</v>
      </c>
      <c r="AA63">
        <f t="shared" si="22"/>
        <v>6.229253927003394</v>
      </c>
      <c r="AB63">
        <f t="shared" si="23"/>
        <v>6.1020141310285494</v>
      </c>
      <c r="AC63">
        <f t="shared" si="24"/>
        <v>5.8469540894718879</v>
      </c>
      <c r="AD63">
        <f t="shared" si="25"/>
        <v>5.9512404110614252</v>
      </c>
      <c r="AE63">
        <f t="shared" si="26"/>
        <v>6.0642606399187766</v>
      </c>
      <c r="AF63">
        <f t="shared" si="27"/>
        <v>6.0782866286406216</v>
      </c>
      <c r="AG63">
        <f t="shared" si="28"/>
        <v>6.2151313405575381</v>
      </c>
      <c r="AH63">
        <f t="shared" si="29"/>
        <v>6.2140010224622895</v>
      </c>
      <c r="AI63">
        <f t="shared" si="30"/>
        <v>6.0934327175028971</v>
      </c>
      <c r="AJ63" t="str">
        <f t="shared" si="31"/>
        <v>C01132</v>
      </c>
      <c r="AL63">
        <f t="shared" si="32"/>
        <v>6.1295937386167108</v>
      </c>
      <c r="AM63">
        <f t="shared" si="33"/>
        <v>0.12055983385509884</v>
      </c>
      <c r="AN63">
        <f t="shared" si="34"/>
        <v>0.78556737055143766</v>
      </c>
      <c r="AO63">
        <f t="shared" si="35"/>
        <v>-0.57425304004126398</v>
      </c>
      <c r="AP63">
        <f t="shared" si="36"/>
        <v>0.19109442124187759</v>
      </c>
      <c r="AQ63">
        <f t="shared" si="37"/>
        <v>0.3027021325384221</v>
      </c>
      <c r="AR63">
        <f t="shared" si="38"/>
        <v>1.9619990871804205</v>
      </c>
      <c r="AS63">
        <f t="shared" si="39"/>
        <v>0.27911413391493839</v>
      </c>
      <c r="AT63">
        <f t="shared" si="40"/>
        <v>0.13746245932745396</v>
      </c>
      <c r="AU63">
        <f t="shared" si="41"/>
        <v>0.82664503757084673</v>
      </c>
      <c r="AV63">
        <f t="shared" si="42"/>
        <v>-0.22876282013883129</v>
      </c>
      <c r="AW63">
        <f t="shared" si="43"/>
        <v>-2.3443931540626388</v>
      </c>
      <c r="AX63">
        <f t="shared" si="44"/>
        <v>-1.4793760231093951</v>
      </c>
      <c r="AY63">
        <f t="shared" si="45"/>
        <v>-0.54191430602382995</v>
      </c>
      <c r="AZ63">
        <f t="shared" si="46"/>
        <v>-0.42557382782855568</v>
      </c>
      <c r="BA63">
        <f t="shared" si="47"/>
        <v>0.70950331636683595</v>
      </c>
      <c r="BB63">
        <f t="shared" si="48"/>
        <v>0.70012773862170408</v>
      </c>
      <c r="BC63">
        <f t="shared" si="49"/>
        <v>-0.29994252610928207</v>
      </c>
      <c r="BD63" t="str">
        <f t="shared" si="50"/>
        <v>C01132</v>
      </c>
    </row>
    <row r="64" spans="1:56" x14ac:dyDescent="0.2">
      <c r="A64" t="s">
        <v>112</v>
      </c>
      <c r="B64">
        <v>254301.875</v>
      </c>
      <c r="C64">
        <v>482014.15620000003</v>
      </c>
      <c r="D64">
        <v>162647.7188</v>
      </c>
      <c r="E64">
        <v>170219.0938</v>
      </c>
      <c r="F64">
        <v>227966.17189999999</v>
      </c>
      <c r="G64">
        <v>241960.75</v>
      </c>
      <c r="H64">
        <v>236199.3125</v>
      </c>
      <c r="I64">
        <v>211970.14060000001</v>
      </c>
      <c r="J64">
        <v>22993.160159999999</v>
      </c>
      <c r="K64">
        <v>19866.005860000001</v>
      </c>
      <c r="L64">
        <v>20139.16992</v>
      </c>
      <c r="M64">
        <v>20833.191409999999</v>
      </c>
      <c r="N64">
        <v>42544.324220000002</v>
      </c>
      <c r="O64">
        <v>45970.003909999999</v>
      </c>
      <c r="P64">
        <v>69186.828120000006</v>
      </c>
      <c r="Q64">
        <v>31904.722659999999</v>
      </c>
      <c r="R64" s="2"/>
      <c r="S64" s="4" t="s">
        <v>421</v>
      </c>
      <c r="T64">
        <f t="shared" si="15"/>
        <v>5.4053495622958492</v>
      </c>
      <c r="U64">
        <f t="shared" si="16"/>
        <v>5.6830597931543361</v>
      </c>
      <c r="V64">
        <f t="shared" si="17"/>
        <v>5.2112479765049322</v>
      </c>
      <c r="W64">
        <f t="shared" si="18"/>
        <v>5.2310082741203541</v>
      </c>
      <c r="X64">
        <f t="shared" si="19"/>
        <v>5.3578704064428173</v>
      </c>
      <c r="Y64">
        <f t="shared" si="20"/>
        <v>5.3837449220097078</v>
      </c>
      <c r="Z64">
        <f t="shared" si="21"/>
        <v>5.3732786291882038</v>
      </c>
      <c r="AA64">
        <f t="shared" si="22"/>
        <v>5.3262746878817246</v>
      </c>
      <c r="AB64">
        <f t="shared" si="23"/>
        <v>4.3615986644285707</v>
      </c>
      <c r="AC64">
        <f t="shared" si="24"/>
        <v>4.2981105592422901</v>
      </c>
      <c r="AD64">
        <f t="shared" si="25"/>
        <v>4.3040415661881646</v>
      </c>
      <c r="AE64">
        <f t="shared" si="26"/>
        <v>4.3187558040613503</v>
      </c>
      <c r="AF64">
        <f t="shared" si="27"/>
        <v>4.6288416296532588</v>
      </c>
      <c r="AG64">
        <f t="shared" si="28"/>
        <v>4.6624745406894297</v>
      </c>
      <c r="AH64">
        <f t="shared" si="29"/>
        <v>4.8400234207674293</v>
      </c>
      <c r="AI64">
        <f t="shared" si="30"/>
        <v>4.5038549737584379</v>
      </c>
      <c r="AJ64">
        <f t="shared" si="31"/>
        <v>0</v>
      </c>
      <c r="AL64">
        <f t="shared" si="32"/>
        <v>4.9305959631491785</v>
      </c>
      <c r="AM64">
        <f t="shared" si="33"/>
        <v>0.48614219226707645</v>
      </c>
      <c r="AN64">
        <f t="shared" si="34"/>
        <v>0.97657353485963405</v>
      </c>
      <c r="AO64">
        <f t="shared" si="35"/>
        <v>1.5478266276294932</v>
      </c>
      <c r="AP64">
        <f t="shared" si="36"/>
        <v>0.57730437271235524</v>
      </c>
      <c r="AQ64">
        <f t="shared" si="37"/>
        <v>0.61795152889370131</v>
      </c>
      <c r="AR64">
        <f t="shared" si="38"/>
        <v>0.87890837308542669</v>
      </c>
      <c r="AS64">
        <f t="shared" si="39"/>
        <v>0.9321325448986717</v>
      </c>
      <c r="AT64">
        <f t="shared" si="40"/>
        <v>0.91060326192758145</v>
      </c>
      <c r="AU64">
        <f t="shared" si="41"/>
        <v>0.81391562186227295</v>
      </c>
      <c r="AV64">
        <f t="shared" si="42"/>
        <v>-1.1704338931520111</v>
      </c>
      <c r="AW64">
        <f t="shared" si="43"/>
        <v>-1.3010296451689467</v>
      </c>
      <c r="AX64">
        <f t="shared" si="44"/>
        <v>-1.2888294966522837</v>
      </c>
      <c r="AY64">
        <f t="shared" si="45"/>
        <v>-1.2585621425586855</v>
      </c>
      <c r="AZ64">
        <f t="shared" si="46"/>
        <v>-0.62071208443915937</v>
      </c>
      <c r="BA64">
        <f t="shared" si="47"/>
        <v>-0.55152880520283754</v>
      </c>
      <c r="BB64">
        <f t="shared" si="48"/>
        <v>-0.18630874633483877</v>
      </c>
      <c r="BC64">
        <f t="shared" si="49"/>
        <v>-0.87781105236037182</v>
      </c>
      <c r="BD64">
        <f t="shared" si="50"/>
        <v>0</v>
      </c>
    </row>
    <row r="65" spans="1:56" x14ac:dyDescent="0.2">
      <c r="A65" t="s">
        <v>113</v>
      </c>
      <c r="B65">
        <v>61708.71875</v>
      </c>
      <c r="C65">
        <v>49677.625</v>
      </c>
      <c r="D65">
        <v>50048.828119999998</v>
      </c>
      <c r="E65">
        <v>49032.613279999998</v>
      </c>
      <c r="F65">
        <v>60827.542970000002</v>
      </c>
      <c r="G65">
        <v>41233.667970000002</v>
      </c>
      <c r="H65">
        <v>39575.492189999997</v>
      </c>
      <c r="I65">
        <v>39197.382810000003</v>
      </c>
      <c r="J65">
        <v>98768.53125</v>
      </c>
      <c r="K65">
        <v>84696.53125</v>
      </c>
      <c r="L65">
        <v>85412.914059999996</v>
      </c>
      <c r="M65">
        <v>71000.328120000006</v>
      </c>
      <c r="N65">
        <v>53363.890619999998</v>
      </c>
      <c r="O65">
        <v>58497.90625</v>
      </c>
      <c r="P65">
        <v>70174.976559999996</v>
      </c>
      <c r="Q65">
        <v>64115.976560000003</v>
      </c>
      <c r="R65" s="2" t="s">
        <v>114</v>
      </c>
      <c r="S65" s="4" t="s">
        <v>421</v>
      </c>
      <c r="T65">
        <f t="shared" si="15"/>
        <v>4.7903465293088683</v>
      </c>
      <c r="U65">
        <f t="shared" si="16"/>
        <v>4.6961608248084188</v>
      </c>
      <c r="V65">
        <f t="shared" si="17"/>
        <v>4.6993939130445925</v>
      </c>
      <c r="W65">
        <f t="shared" si="18"/>
        <v>4.6904850403569061</v>
      </c>
      <c r="X65">
        <f t="shared" si="19"/>
        <v>4.7841002741955885</v>
      </c>
      <c r="Y65">
        <f t="shared" si="20"/>
        <v>4.6152519694915455</v>
      </c>
      <c r="Z65">
        <f t="shared" si="21"/>
        <v>4.5974263247743643</v>
      </c>
      <c r="AA65">
        <f t="shared" si="22"/>
        <v>4.5932570703592228</v>
      </c>
      <c r="AB65">
        <f t="shared" si="23"/>
        <v>4.9946185955853197</v>
      </c>
      <c r="AC65">
        <f t="shared" si="24"/>
        <v>4.9278656241461469</v>
      </c>
      <c r="AD65">
        <f t="shared" si="25"/>
        <v>4.9315235390846119</v>
      </c>
      <c r="AE65">
        <f t="shared" si="26"/>
        <v>4.8512603557666267</v>
      </c>
      <c r="AF65">
        <f t="shared" si="27"/>
        <v>4.7272474853238</v>
      </c>
      <c r="AG65">
        <f t="shared" si="28"/>
        <v>4.767140322144674</v>
      </c>
      <c r="AH65">
        <f t="shared" si="29"/>
        <v>4.8461822762425033</v>
      </c>
      <c r="AI65">
        <f t="shared" si="30"/>
        <v>4.8069662614579229</v>
      </c>
      <c r="AJ65" t="str">
        <f t="shared" si="31"/>
        <v>C01596</v>
      </c>
      <c r="AL65">
        <f t="shared" si="32"/>
        <v>4.769951650380694</v>
      </c>
      <c r="AM65">
        <f t="shared" si="33"/>
        <v>0.12094458511797618</v>
      </c>
      <c r="AN65">
        <f t="shared" si="34"/>
        <v>0.16862994658487562</v>
      </c>
      <c r="AO65">
        <f t="shared" si="35"/>
        <v>-0.61012095332995264</v>
      </c>
      <c r="AP65">
        <f t="shared" si="36"/>
        <v>-0.58338897328289219</v>
      </c>
      <c r="AQ65">
        <f t="shared" si="37"/>
        <v>-0.65704975502848473</v>
      </c>
      <c r="AR65">
        <f t="shared" si="38"/>
        <v>0.11698435114803271</v>
      </c>
      <c r="AS65">
        <f t="shared" si="39"/>
        <v>-1.2790955522171228</v>
      </c>
      <c r="AT65">
        <f t="shared" si="40"/>
        <v>-1.4264824294369092</v>
      </c>
      <c r="AU65">
        <f t="shared" si="41"/>
        <v>-1.4609548649831106</v>
      </c>
      <c r="AV65">
        <f t="shared" si="42"/>
        <v>1.8576023472689818</v>
      </c>
      <c r="AW65">
        <f t="shared" si="43"/>
        <v>1.3056721275401846</v>
      </c>
      <c r="AX65">
        <f t="shared" si="44"/>
        <v>1.3359166807369802</v>
      </c>
      <c r="AY65">
        <f t="shared" si="45"/>
        <v>0.67228065900279543</v>
      </c>
      <c r="AZ65">
        <f t="shared" si="46"/>
        <v>-0.35308868946251665</v>
      </c>
      <c r="BA65">
        <f t="shared" si="47"/>
        <v>-2.3244763155603126E-2</v>
      </c>
      <c r="BB65">
        <f t="shared" si="48"/>
        <v>0.63029383074446554</v>
      </c>
      <c r="BC65">
        <f t="shared" si="49"/>
        <v>0.30604603787034185</v>
      </c>
      <c r="BD65" t="str">
        <f t="shared" si="50"/>
        <v>C01596</v>
      </c>
    </row>
    <row r="66" spans="1:56" x14ac:dyDescent="0.2">
      <c r="A66" t="s">
        <v>115</v>
      </c>
      <c r="D66">
        <v>13463.53613</v>
      </c>
      <c r="E66">
        <v>13297.67676</v>
      </c>
      <c r="F66">
        <v>11482.30176</v>
      </c>
      <c r="G66">
        <v>14988.612300000001</v>
      </c>
      <c r="H66">
        <v>12556.490229999999</v>
      </c>
      <c r="I66">
        <v>12561.4375</v>
      </c>
      <c r="K66">
        <v>16102.81055</v>
      </c>
      <c r="L66">
        <v>10779.431640000001</v>
      </c>
      <c r="M66">
        <v>14495.914059999999</v>
      </c>
      <c r="N66">
        <v>19152.76758</v>
      </c>
      <c r="O66">
        <v>11318.69238</v>
      </c>
      <c r="P66">
        <v>12720.48926</v>
      </c>
      <c r="Q66">
        <v>11618.563480000001</v>
      </c>
      <c r="R66" s="2" t="s">
        <v>116</v>
      </c>
      <c r="S66" s="4" t="s">
        <v>421</v>
      </c>
      <c r="T66" t="e">
        <f t="shared" si="15"/>
        <v>#NUM!</v>
      </c>
      <c r="U66" t="e">
        <f t="shared" si="16"/>
        <v>#NUM!</v>
      </c>
      <c r="V66">
        <f t="shared" si="17"/>
        <v>4.1291591401296994</v>
      </c>
      <c r="W66">
        <f t="shared" si="18"/>
        <v>4.1237757719110171</v>
      </c>
      <c r="X66">
        <f t="shared" si="19"/>
        <v>4.060028956133829</v>
      </c>
      <c r="Y66">
        <f t="shared" si="20"/>
        <v>4.175761426153791</v>
      </c>
      <c r="Z66">
        <f t="shared" si="21"/>
        <v>4.0988682630671667</v>
      </c>
      <c r="AA66">
        <f t="shared" si="22"/>
        <v>4.0990393418370683</v>
      </c>
      <c r="AB66" t="e">
        <f t="shared" si="23"/>
        <v>#NUM!</v>
      </c>
      <c r="AC66">
        <f t="shared" si="24"/>
        <v>4.2069016834746389</v>
      </c>
      <c r="AD66">
        <f t="shared" si="25"/>
        <v>4.0325958626949694</v>
      </c>
      <c r="AE66">
        <f t="shared" si="26"/>
        <v>4.1612456055963687</v>
      </c>
      <c r="AF66">
        <f t="shared" si="27"/>
        <v>4.2822315385071157</v>
      </c>
      <c r="AG66">
        <f t="shared" si="28"/>
        <v>4.053796256803424</v>
      </c>
      <c r="AH66">
        <f t="shared" si="29"/>
        <v>4.104503815623076</v>
      </c>
      <c r="AI66">
        <f t="shared" si="30"/>
        <v>4.06515243517347</v>
      </c>
      <c r="AJ66" t="str">
        <f t="shared" si="31"/>
        <v>C02918</v>
      </c>
      <c r="AL66" t="e">
        <f t="shared" si="32"/>
        <v>#NUM!</v>
      </c>
      <c r="AM66" t="e">
        <f t="shared" si="33"/>
        <v>#NUM!</v>
      </c>
      <c r="AN66" t="e">
        <f t="shared" si="34"/>
        <v>#NUM!</v>
      </c>
      <c r="AO66" t="e">
        <f t="shared" si="35"/>
        <v>#NUM!</v>
      </c>
      <c r="AP66" t="e">
        <f t="shared" si="36"/>
        <v>#NUM!</v>
      </c>
      <c r="AQ66" t="e">
        <f t="shared" si="37"/>
        <v>#NUM!</v>
      </c>
      <c r="AR66" t="e">
        <f t="shared" si="38"/>
        <v>#NUM!</v>
      </c>
      <c r="AS66" t="e">
        <f t="shared" si="39"/>
        <v>#NUM!</v>
      </c>
      <c r="AT66" t="e">
        <f t="shared" si="40"/>
        <v>#NUM!</v>
      </c>
      <c r="AU66" t="e">
        <f t="shared" si="41"/>
        <v>#NUM!</v>
      </c>
      <c r="AV66" t="e">
        <f t="shared" si="42"/>
        <v>#NUM!</v>
      </c>
      <c r="AW66" t="e">
        <f t="shared" si="43"/>
        <v>#NUM!</v>
      </c>
      <c r="AX66" t="e">
        <f t="shared" si="44"/>
        <v>#NUM!</v>
      </c>
      <c r="AY66" t="e">
        <f t="shared" si="45"/>
        <v>#NUM!</v>
      </c>
      <c r="AZ66" t="e">
        <f t="shared" si="46"/>
        <v>#NUM!</v>
      </c>
      <c r="BA66" t="e">
        <f t="shared" si="47"/>
        <v>#NUM!</v>
      </c>
      <c r="BB66" t="e">
        <f t="shared" si="48"/>
        <v>#NUM!</v>
      </c>
      <c r="BC66" t="e">
        <f t="shared" si="49"/>
        <v>#NUM!</v>
      </c>
      <c r="BD66" t="str">
        <f t="shared" si="50"/>
        <v>C02918</v>
      </c>
    </row>
    <row r="67" spans="1:56" x14ac:dyDescent="0.2">
      <c r="A67" t="s">
        <v>117</v>
      </c>
      <c r="B67">
        <v>705185.875</v>
      </c>
      <c r="C67">
        <v>348371.4375</v>
      </c>
      <c r="D67">
        <v>3391761.25</v>
      </c>
      <c r="E67">
        <v>409373.28120000003</v>
      </c>
      <c r="F67">
        <v>589484.125</v>
      </c>
      <c r="G67">
        <v>915097.3125</v>
      </c>
      <c r="H67">
        <v>889220.1875</v>
      </c>
      <c r="I67">
        <v>1560389.5</v>
      </c>
      <c r="J67">
        <v>75423.8125</v>
      </c>
      <c r="K67">
        <v>74566.21875</v>
      </c>
      <c r="L67">
        <v>38823.542970000002</v>
      </c>
      <c r="M67">
        <v>55034.6875</v>
      </c>
      <c r="N67">
        <v>66588.671879999994</v>
      </c>
      <c r="O67">
        <v>190193.67189999999</v>
      </c>
      <c r="P67">
        <v>87490.8125</v>
      </c>
      <c r="Q67">
        <v>71689.085940000004</v>
      </c>
      <c r="R67" s="2" t="s">
        <v>375</v>
      </c>
      <c r="S67" s="4" t="s">
        <v>421</v>
      </c>
      <c r="T67">
        <f t="shared" ref="T67:T130" si="51">LOG10(B67)</f>
        <v>5.8483036047177652</v>
      </c>
      <c r="U67">
        <f t="shared" ref="U67:U130" si="52">LOG10(C67)</f>
        <v>5.542042540581777</v>
      </c>
      <c r="V67">
        <f t="shared" ref="V67:V130" si="53">LOG10(D67)</f>
        <v>6.5304252741693398</v>
      </c>
      <c r="W67">
        <f t="shared" ref="W67:W130" si="54">LOG10(E67)</f>
        <v>5.6121194939052081</v>
      </c>
      <c r="X67">
        <f t="shared" ref="X67:X130" si="55">LOG10(F67)</f>
        <v>5.7704721138963597</v>
      </c>
      <c r="Y67">
        <f t="shared" ref="Y67:Y130" si="56">LOG10(G67)</f>
        <v>5.9614672798965911</v>
      </c>
      <c r="Z67">
        <f t="shared" ref="Z67:Z130" si="57">LOG10(H67)</f>
        <v>5.9490093136989417</v>
      </c>
      <c r="AA67">
        <f t="shared" ref="AA67:AA130" si="58">LOG10(I67)</f>
        <v>6.1932330192433156</v>
      </c>
      <c r="AB67">
        <f t="shared" ref="AB67:AB130" si="59">LOG10(J67)</f>
        <v>4.8775084812102065</v>
      </c>
      <c r="AC67">
        <f t="shared" ref="AC67:AC130" si="60">LOG10(K67)</f>
        <v>4.8725421205930477</v>
      </c>
      <c r="AD67">
        <f t="shared" ref="AD67:AD130" si="61">LOG10(L67)</f>
        <v>4.5890951658310462</v>
      </c>
      <c r="AE67">
        <f t="shared" ref="AE67:AE130" si="62">LOG10(M67)</f>
        <v>4.7406365047916257</v>
      </c>
      <c r="AF67">
        <f t="shared" ref="AF67:AF130" si="63">LOG10(N67)</f>
        <v>4.8234003529171821</v>
      </c>
      <c r="AG67">
        <f t="shared" ref="AG67:AG130" si="64">LOG10(O67)</f>
        <v>5.2791960630502368</v>
      </c>
      <c r="AH67">
        <f t="shared" ref="AH67:AH130" si="65">LOG10(P67)</f>
        <v>4.9419624497074972</v>
      </c>
      <c r="AI67">
        <f t="shared" ref="AI67:AI130" si="66">LOG10(Q67)</f>
        <v>4.8554530430203666</v>
      </c>
      <c r="AJ67" t="str">
        <f t="shared" ref="AJ67:AJ130" si="67">R67</f>
        <v>C00330</v>
      </c>
      <c r="AL67">
        <f t="shared" ref="AL67:AL130" si="68">AVERAGE(T67:AI67)</f>
        <v>5.3991791763269061</v>
      </c>
      <c r="AM67">
        <f t="shared" ref="AM67:AM130" si="69">STDEV(T67:AI67)</f>
        <v>0.60133456849936429</v>
      </c>
      <c r="AN67">
        <f t="shared" ref="AN67:AN130" si="70">(T67-$AL67)/$AM67</f>
        <v>0.74687944435267217</v>
      </c>
      <c r="AO67">
        <f t="shared" ref="AO67:AO130" si="71">(U67-$AL67)/$AM67</f>
        <v>0.23757716874881762</v>
      </c>
      <c r="AP67">
        <f t="shared" ref="AP67:AP130" si="72">(V67-$AL67)/$AM67</f>
        <v>1.8812257886079429</v>
      </c>
      <c r="AQ67">
        <f t="shared" ref="AQ67:AQ130" si="73">(W67-$AL67)/$AM67</f>
        <v>0.35411288279949787</v>
      </c>
      <c r="AR67">
        <f t="shared" ref="AR67:AR130" si="74">(X67-$AL67)/$AM67</f>
        <v>0.61744818445415239</v>
      </c>
      <c r="AS67">
        <f t="shared" ref="AS67:AS130" si="75">(Y67-$AL67)/$AM67</f>
        <v>0.93506698770516361</v>
      </c>
      <c r="AT67">
        <f t="shared" ref="AT67:AT130" si="76">(Z67-$AL67)/$AM67</f>
        <v>0.91434979157134022</v>
      </c>
      <c r="AU67">
        <f t="shared" ref="AU67:AU130" si="77">(AA67-$AL67)/$AM67</f>
        <v>1.320485939961805</v>
      </c>
      <c r="AV67">
        <f t="shared" ref="AV67:AV130" si="78">(AB67-$AL67)/$AM67</f>
        <v>-0.86752154697930206</v>
      </c>
      <c r="AW67">
        <f t="shared" ref="AW67:AW130" si="79">(AC67-$AL67)/$AM67</f>
        <v>-0.87578044456696691</v>
      </c>
      <c r="AX67">
        <f t="shared" ref="AX67:AX130" si="80">(AD67-$AL67)/$AM67</f>
        <v>-1.3471435918234864</v>
      </c>
      <c r="AY67">
        <f t="shared" ref="AY67:AY130" si="81">(AE67-$AL67)/$AM67</f>
        <v>-1.0951352309225786</v>
      </c>
      <c r="AZ67">
        <f t="shared" ref="AZ67:AZ130" si="82">(AF67-$AL67)/$AM67</f>
        <v>-0.95750161984963744</v>
      </c>
      <c r="BA67">
        <f t="shared" ref="BA67:BA130" si="83">(AG67-$AL67)/$AM67</f>
        <v>-0.19952804904612126</v>
      </c>
      <c r="BB67">
        <f t="shared" ref="BB67:BB130" si="84">(AH67-$AL67)/$AM67</f>
        <v>-0.76033667540583494</v>
      </c>
      <c r="BC67">
        <f t="shared" ref="BC67:BC130" si="85">(AI67-$AL67)/$AM67</f>
        <v>-0.90419902960744947</v>
      </c>
      <c r="BD67" t="str">
        <f t="shared" ref="BD67:BD130" si="86">AJ67</f>
        <v>C00330</v>
      </c>
    </row>
    <row r="68" spans="1:56" x14ac:dyDescent="0.2">
      <c r="A68" t="s">
        <v>118</v>
      </c>
      <c r="B68">
        <v>686089.875</v>
      </c>
      <c r="C68">
        <v>583726.75</v>
      </c>
      <c r="D68">
        <v>618329.3125</v>
      </c>
      <c r="E68">
        <v>591874.125</v>
      </c>
      <c r="F68">
        <v>4403621</v>
      </c>
      <c r="G68">
        <v>1577300</v>
      </c>
      <c r="H68">
        <v>2000931</v>
      </c>
      <c r="I68">
        <v>2071556.5</v>
      </c>
      <c r="J68">
        <v>1394845.25</v>
      </c>
      <c r="K68">
        <v>612900.125</v>
      </c>
      <c r="L68">
        <v>1331126.875</v>
      </c>
      <c r="M68">
        <v>1026180.875</v>
      </c>
      <c r="N68">
        <v>2072843</v>
      </c>
      <c r="O68">
        <v>2068893.875</v>
      </c>
      <c r="P68">
        <v>1449734.75</v>
      </c>
      <c r="Q68">
        <v>2984444.25</v>
      </c>
      <c r="R68" s="2" t="s">
        <v>376</v>
      </c>
      <c r="S68" s="4" t="s">
        <v>421</v>
      </c>
      <c r="T68">
        <f t="shared" si="51"/>
        <v>5.8363810102547369</v>
      </c>
      <c r="U68">
        <f t="shared" si="52"/>
        <v>5.7662095958477586</v>
      </c>
      <c r="V68">
        <f t="shared" si="53"/>
        <v>5.7912198351374826</v>
      </c>
      <c r="W68">
        <f t="shared" si="54"/>
        <v>5.7722293543064573</v>
      </c>
      <c r="X68">
        <f t="shared" si="55"/>
        <v>6.6438099341208927</v>
      </c>
      <c r="Y68">
        <f t="shared" si="56"/>
        <v>6.1979143033184183</v>
      </c>
      <c r="Z68">
        <f t="shared" si="57"/>
        <v>6.3012321127062147</v>
      </c>
      <c r="AA68">
        <f t="shared" si="58"/>
        <v>6.3162967828207002</v>
      </c>
      <c r="AB68">
        <f t="shared" si="59"/>
        <v>6.1445260278253482</v>
      </c>
      <c r="AC68">
        <f t="shared" si="60"/>
        <v>5.7873897099257841</v>
      </c>
      <c r="AD68">
        <f t="shared" si="61"/>
        <v>6.1242194517829809</v>
      </c>
      <c r="AE68">
        <f t="shared" si="62"/>
        <v>6.0112239164201604</v>
      </c>
      <c r="AF68">
        <f t="shared" si="63"/>
        <v>6.3165664092739009</v>
      </c>
      <c r="AG68">
        <f t="shared" si="64"/>
        <v>6.3157382138730984</v>
      </c>
      <c r="AH68">
        <f t="shared" si="65"/>
        <v>6.1612885490286802</v>
      </c>
      <c r="AI68">
        <f t="shared" si="66"/>
        <v>6.4748634705979375</v>
      </c>
      <c r="AJ68" t="str">
        <f t="shared" si="67"/>
        <v>C00475</v>
      </c>
      <c r="AL68">
        <f t="shared" si="68"/>
        <v>6.1225692923275359</v>
      </c>
      <c r="AM68">
        <f t="shared" si="69"/>
        <v>0.27252319427805355</v>
      </c>
      <c r="AN68">
        <f t="shared" si="70"/>
        <v>-1.0501428431842137</v>
      </c>
      <c r="AO68">
        <f t="shared" si="71"/>
        <v>-1.3076307043289164</v>
      </c>
      <c r="AP68">
        <f t="shared" si="72"/>
        <v>-1.2158578210850548</v>
      </c>
      <c r="AQ68">
        <f t="shared" si="73"/>
        <v>-1.2855417277387007</v>
      </c>
      <c r="AR68">
        <f t="shared" si="74"/>
        <v>1.9126468966217187</v>
      </c>
      <c r="AS68">
        <f t="shared" si="75"/>
        <v>0.27647192082303435</v>
      </c>
      <c r="AT68">
        <f t="shared" si="76"/>
        <v>0.65558757613999785</v>
      </c>
      <c r="AU68">
        <f t="shared" si="77"/>
        <v>0.71086606410280606</v>
      </c>
      <c r="AV68">
        <f t="shared" si="78"/>
        <v>8.0568318436081407E-2</v>
      </c>
      <c r="AW68">
        <f t="shared" si="79"/>
        <v>-1.2299121301938447</v>
      </c>
      <c r="AX68">
        <f t="shared" si="80"/>
        <v>6.0551156381990481E-3</v>
      </c>
      <c r="AY68">
        <f t="shared" si="81"/>
        <v>-0.40857210778826608</v>
      </c>
      <c r="AZ68">
        <f t="shared" si="82"/>
        <v>0.71185543476505375</v>
      </c>
      <c r="BA68">
        <f t="shared" si="83"/>
        <v>0.70881644425638723</v>
      </c>
      <c r="BB68">
        <f t="shared" si="84"/>
        <v>0.14207692231010363</v>
      </c>
      <c r="BC68">
        <f t="shared" si="85"/>
        <v>1.292712641225533</v>
      </c>
      <c r="BD68" t="str">
        <f t="shared" si="86"/>
        <v>C00475</v>
      </c>
    </row>
    <row r="69" spans="1:56" x14ac:dyDescent="0.2">
      <c r="A69" t="s">
        <v>119</v>
      </c>
      <c r="B69">
        <v>1676106.5</v>
      </c>
      <c r="C69">
        <v>1149110.75</v>
      </c>
      <c r="D69">
        <v>1421124.25</v>
      </c>
      <c r="E69">
        <v>1465843</v>
      </c>
      <c r="F69">
        <v>2323443</v>
      </c>
      <c r="G69">
        <v>1456276</v>
      </c>
      <c r="H69">
        <v>1400123</v>
      </c>
      <c r="I69">
        <v>1695328.75</v>
      </c>
      <c r="J69">
        <v>1264777.5</v>
      </c>
      <c r="K69">
        <v>702998</v>
      </c>
      <c r="L69">
        <v>893800.125</v>
      </c>
      <c r="M69">
        <v>1159473</v>
      </c>
      <c r="N69">
        <v>1197530.625</v>
      </c>
      <c r="O69">
        <v>1641086</v>
      </c>
      <c r="P69">
        <v>1636820.375</v>
      </c>
      <c r="Q69">
        <v>1240031.5</v>
      </c>
      <c r="R69" s="2" t="s">
        <v>377</v>
      </c>
      <c r="S69" s="4" t="s">
        <v>421</v>
      </c>
      <c r="T69">
        <f t="shared" si="51"/>
        <v>6.2243016102923789</v>
      </c>
      <c r="U69">
        <f t="shared" si="52"/>
        <v>6.0603618875185505</v>
      </c>
      <c r="V69">
        <f t="shared" si="53"/>
        <v>6.1526320502922678</v>
      </c>
      <c r="W69">
        <f t="shared" si="54"/>
        <v>6.166087457423127</v>
      </c>
      <c r="X69">
        <f t="shared" si="55"/>
        <v>6.3661320225910378</v>
      </c>
      <c r="Y69">
        <f t="shared" si="56"/>
        <v>6.1632436922281055</v>
      </c>
      <c r="Z69">
        <f t="shared" si="57"/>
        <v>6.1461661898745419</v>
      </c>
      <c r="AA69">
        <f t="shared" si="58"/>
        <v>6.229253927003394</v>
      </c>
      <c r="AB69">
        <f t="shared" si="59"/>
        <v>6.1020141310285494</v>
      </c>
      <c r="AC69">
        <f t="shared" si="60"/>
        <v>5.8469540894718879</v>
      </c>
      <c r="AD69">
        <f t="shared" si="61"/>
        <v>5.9512404110614252</v>
      </c>
      <c r="AE69">
        <f t="shared" si="62"/>
        <v>6.0642606399187766</v>
      </c>
      <c r="AF69">
        <f t="shared" si="63"/>
        <v>6.0782866286406216</v>
      </c>
      <c r="AG69">
        <f t="shared" si="64"/>
        <v>6.2151313405575381</v>
      </c>
      <c r="AH69">
        <f t="shared" si="65"/>
        <v>6.2140010224622895</v>
      </c>
      <c r="AI69">
        <f t="shared" si="66"/>
        <v>6.0934327175028971</v>
      </c>
      <c r="AJ69" t="str">
        <f t="shared" si="67"/>
        <v>C03878</v>
      </c>
      <c r="AL69">
        <f t="shared" si="68"/>
        <v>6.1295937386167108</v>
      </c>
      <c r="AM69">
        <f t="shared" si="69"/>
        <v>0.12055983385509884</v>
      </c>
      <c r="AN69">
        <f t="shared" si="70"/>
        <v>0.78556737055143766</v>
      </c>
      <c r="AO69">
        <f t="shared" si="71"/>
        <v>-0.57425304004126398</v>
      </c>
      <c r="AP69">
        <f t="shared" si="72"/>
        <v>0.19109442124187759</v>
      </c>
      <c r="AQ69">
        <f t="shared" si="73"/>
        <v>0.3027021325384221</v>
      </c>
      <c r="AR69">
        <f t="shared" si="74"/>
        <v>1.9619990871804205</v>
      </c>
      <c r="AS69">
        <f t="shared" si="75"/>
        <v>0.27911413391493839</v>
      </c>
      <c r="AT69">
        <f t="shared" si="76"/>
        <v>0.13746245932745396</v>
      </c>
      <c r="AU69">
        <f t="shared" si="77"/>
        <v>0.82664503757084673</v>
      </c>
      <c r="AV69">
        <f t="shared" si="78"/>
        <v>-0.22876282013883129</v>
      </c>
      <c r="AW69">
        <f t="shared" si="79"/>
        <v>-2.3443931540626388</v>
      </c>
      <c r="AX69">
        <f t="shared" si="80"/>
        <v>-1.4793760231093951</v>
      </c>
      <c r="AY69">
        <f t="shared" si="81"/>
        <v>-0.54191430602382995</v>
      </c>
      <c r="AZ69">
        <f t="shared" si="82"/>
        <v>-0.42557382782855568</v>
      </c>
      <c r="BA69">
        <f t="shared" si="83"/>
        <v>0.70950331636683595</v>
      </c>
      <c r="BB69">
        <f t="shared" si="84"/>
        <v>0.70012773862170408</v>
      </c>
      <c r="BC69">
        <f t="shared" si="85"/>
        <v>-0.29994252610928207</v>
      </c>
      <c r="BD69" t="str">
        <f t="shared" si="86"/>
        <v>C03878</v>
      </c>
    </row>
    <row r="70" spans="1:56" x14ac:dyDescent="0.2">
      <c r="A70" t="s">
        <v>120</v>
      </c>
      <c r="B70">
        <v>53030928</v>
      </c>
      <c r="C70">
        <v>45999720</v>
      </c>
      <c r="D70">
        <v>44623004</v>
      </c>
      <c r="E70">
        <v>38755920</v>
      </c>
      <c r="F70">
        <v>45607164</v>
      </c>
      <c r="G70">
        <v>33665960</v>
      </c>
      <c r="H70">
        <v>32849328</v>
      </c>
      <c r="I70">
        <v>35632148</v>
      </c>
      <c r="J70">
        <v>10386490</v>
      </c>
      <c r="K70">
        <v>5478422.5</v>
      </c>
      <c r="L70">
        <v>8171555.5</v>
      </c>
      <c r="M70">
        <v>13757023</v>
      </c>
      <c r="N70">
        <v>24598420</v>
      </c>
      <c r="O70">
        <v>34820600</v>
      </c>
      <c r="P70">
        <v>33006684</v>
      </c>
      <c r="Q70">
        <v>22332870</v>
      </c>
      <c r="R70" s="2" t="s">
        <v>121</v>
      </c>
      <c r="S70" s="4" t="s">
        <v>421</v>
      </c>
      <c r="T70">
        <f t="shared" si="51"/>
        <v>7.7245292270007591</v>
      </c>
      <c r="U70">
        <f t="shared" si="52"/>
        <v>7.6627551881418992</v>
      </c>
      <c r="V70">
        <f t="shared" si="53"/>
        <v>7.6495588034357036</v>
      </c>
      <c r="W70">
        <f t="shared" si="54"/>
        <v>7.5883380507638742</v>
      </c>
      <c r="X70">
        <f t="shared" si="55"/>
        <v>7.6590330672542217</v>
      </c>
      <c r="Y70">
        <f t="shared" si="56"/>
        <v>7.5271910030831322</v>
      </c>
      <c r="Z70">
        <f t="shared" si="57"/>
        <v>7.5165264896073074</v>
      </c>
      <c r="AA70">
        <f t="shared" si="58"/>
        <v>7.5518420035586722</v>
      </c>
      <c r="AB70">
        <f t="shared" si="59"/>
        <v>7.016468807309332</v>
      </c>
      <c r="AC70">
        <f t="shared" si="60"/>
        <v>6.7386555223215572</v>
      </c>
      <c r="AD70">
        <f t="shared" si="61"/>
        <v>6.9123047347167095</v>
      </c>
      <c r="AE70">
        <f t="shared" si="62"/>
        <v>7.1385244633651315</v>
      </c>
      <c r="AF70">
        <f t="shared" si="63"/>
        <v>7.3909072124969413</v>
      </c>
      <c r="AG70">
        <f t="shared" si="64"/>
        <v>7.5418362502518494</v>
      </c>
      <c r="AH70">
        <f t="shared" si="65"/>
        <v>7.5186018953439415</v>
      </c>
      <c r="AI70">
        <f t="shared" si="66"/>
        <v>7.3489445378977027</v>
      </c>
      <c r="AJ70" t="str">
        <f t="shared" si="67"/>
        <v>C00864</v>
      </c>
      <c r="AL70">
        <f t="shared" si="68"/>
        <v>7.4053760785342968</v>
      </c>
      <c r="AM70">
        <f t="shared" si="69"/>
        <v>0.29654904942536153</v>
      </c>
      <c r="AN70">
        <f t="shared" si="70"/>
        <v>1.0762238121649752</v>
      </c>
      <c r="AO70">
        <f t="shared" si="71"/>
        <v>0.86791412788656441</v>
      </c>
      <c r="AP70">
        <f t="shared" si="72"/>
        <v>0.82341428972567043</v>
      </c>
      <c r="AQ70">
        <f t="shared" si="73"/>
        <v>0.61697035476631046</v>
      </c>
      <c r="AR70">
        <f t="shared" si="74"/>
        <v>0.85536267680321088</v>
      </c>
      <c r="AS70">
        <f t="shared" si="75"/>
        <v>0.41077496213487263</v>
      </c>
      <c r="AT70">
        <f t="shared" si="76"/>
        <v>0.37481290629119368</v>
      </c>
      <c r="AU70">
        <f t="shared" si="77"/>
        <v>0.49390117860161753</v>
      </c>
      <c r="AV70">
        <f t="shared" si="78"/>
        <v>-1.3114433243963204</v>
      </c>
      <c r="AW70">
        <f t="shared" si="79"/>
        <v>-2.2482640140127867</v>
      </c>
      <c r="AX70">
        <f t="shared" si="80"/>
        <v>-1.662697434953972</v>
      </c>
      <c r="AY70">
        <f t="shared" si="81"/>
        <v>-0.89985658590461692</v>
      </c>
      <c r="AZ70">
        <f t="shared" si="82"/>
        <v>-4.8790802281756099E-2</v>
      </c>
      <c r="BA70">
        <f t="shared" si="83"/>
        <v>0.4601605433636648</v>
      </c>
      <c r="BB70">
        <f t="shared" si="84"/>
        <v>0.38181143061847023</v>
      </c>
      <c r="BC70">
        <f t="shared" si="85"/>
        <v>-0.190294120807146</v>
      </c>
      <c r="BD70" t="str">
        <f t="shared" si="86"/>
        <v>C00864</v>
      </c>
    </row>
    <row r="71" spans="1:56" x14ac:dyDescent="0.2">
      <c r="A71" t="s">
        <v>122</v>
      </c>
      <c r="B71">
        <v>449422.875</v>
      </c>
      <c r="C71">
        <v>332889.1875</v>
      </c>
      <c r="D71">
        <v>343379.59379999997</v>
      </c>
      <c r="E71">
        <v>304124.53120000003</v>
      </c>
      <c r="F71">
        <v>540900.125</v>
      </c>
      <c r="G71">
        <v>334853.875</v>
      </c>
      <c r="H71">
        <v>287216.625</v>
      </c>
      <c r="I71">
        <v>376578.21879999997</v>
      </c>
      <c r="J71">
        <v>324975.75</v>
      </c>
      <c r="K71">
        <v>179068.20310000001</v>
      </c>
      <c r="L71">
        <v>237133.32810000001</v>
      </c>
      <c r="M71">
        <v>297862.9375</v>
      </c>
      <c r="N71">
        <v>293978.09379999997</v>
      </c>
      <c r="O71">
        <v>385440.3125</v>
      </c>
      <c r="P71">
        <v>386637.40620000003</v>
      </c>
      <c r="Q71">
        <v>304086.40620000003</v>
      </c>
      <c r="R71" s="2" t="s">
        <v>378</v>
      </c>
      <c r="S71" s="4" t="s">
        <v>421</v>
      </c>
      <c r="T71">
        <f t="shared" si="51"/>
        <v>5.6526551736314934</v>
      </c>
      <c r="U71">
        <f t="shared" si="52"/>
        <v>5.5222996891628355</v>
      </c>
      <c r="V71">
        <f t="shared" si="53"/>
        <v>5.535774482544805</v>
      </c>
      <c r="W71">
        <f t="shared" si="54"/>
        <v>5.4830514524858209</v>
      </c>
      <c r="X71">
        <f t="shared" si="55"/>
        <v>5.7331170818059096</v>
      </c>
      <c r="Y71">
        <f t="shared" si="56"/>
        <v>5.5248553290490534</v>
      </c>
      <c r="Z71">
        <f t="shared" si="57"/>
        <v>5.4582095746259567</v>
      </c>
      <c r="AA71">
        <f t="shared" si="58"/>
        <v>5.5758551969113146</v>
      </c>
      <c r="AB71">
        <f t="shared" si="59"/>
        <v>5.5118509547200532</v>
      </c>
      <c r="AC71">
        <f t="shared" si="60"/>
        <v>5.2530184756079308</v>
      </c>
      <c r="AD71">
        <f t="shared" si="61"/>
        <v>5.3749925965455851</v>
      </c>
      <c r="AE71">
        <f t="shared" si="62"/>
        <v>5.4740164681677346</v>
      </c>
      <c r="AF71">
        <f t="shared" si="63"/>
        <v>5.4683149695406073</v>
      </c>
      <c r="AG71">
        <f t="shared" si="64"/>
        <v>5.5859571347634693</v>
      </c>
      <c r="AH71">
        <f t="shared" si="65"/>
        <v>5.5873038686278091</v>
      </c>
      <c r="AI71">
        <f t="shared" si="66"/>
        <v>5.4829970059899553</v>
      </c>
      <c r="AJ71" t="str">
        <f t="shared" si="67"/>
        <v>C02711</v>
      </c>
      <c r="AL71">
        <f t="shared" si="68"/>
        <v>5.5140168408862706</v>
      </c>
      <c r="AM71">
        <f t="shared" si="69"/>
        <v>0.10906638906772824</v>
      </c>
      <c r="AN71">
        <f t="shared" si="70"/>
        <v>1.2711370930152539</v>
      </c>
      <c r="AO71">
        <f t="shared" si="71"/>
        <v>7.594317871311751E-2</v>
      </c>
      <c r="AP71">
        <f t="shared" si="72"/>
        <v>0.19948988725594677</v>
      </c>
      <c r="AQ71">
        <f t="shared" si="73"/>
        <v>-0.28391320795649311</v>
      </c>
      <c r="AR71">
        <f t="shared" si="74"/>
        <v>2.0088704026277218</v>
      </c>
      <c r="AS71">
        <f t="shared" si="75"/>
        <v>9.9375144399914656E-2</v>
      </c>
      <c r="AT71">
        <f t="shared" si="76"/>
        <v>-0.51168161646626686</v>
      </c>
      <c r="AU71">
        <f t="shared" si="77"/>
        <v>0.5669790350044821</v>
      </c>
      <c r="AV71">
        <f t="shared" si="78"/>
        <v>-1.985842003875744E-2</v>
      </c>
      <c r="AW71">
        <f t="shared" si="79"/>
        <v>-2.3930228873375889</v>
      </c>
      <c r="AX71">
        <f t="shared" si="80"/>
        <v>-1.2746754112704142</v>
      </c>
      <c r="AY71">
        <f t="shared" si="81"/>
        <v>-0.36675251707193285</v>
      </c>
      <c r="AZ71">
        <f t="shared" si="82"/>
        <v>-0.41902800428538406</v>
      </c>
      <c r="BA71">
        <f t="shared" si="83"/>
        <v>0.65960095032141464</v>
      </c>
      <c r="BB71">
        <f t="shared" si="84"/>
        <v>0.6719487861290484</v>
      </c>
      <c r="BC71">
        <f t="shared" si="85"/>
        <v>-0.2844124130400299</v>
      </c>
      <c r="BD71" t="str">
        <f t="shared" si="86"/>
        <v>C02711</v>
      </c>
    </row>
    <row r="72" spans="1:56" x14ac:dyDescent="0.2">
      <c r="A72" t="s">
        <v>123</v>
      </c>
      <c r="B72">
        <v>128739.88280000001</v>
      </c>
      <c r="C72">
        <v>115623.19530000001</v>
      </c>
      <c r="D72">
        <v>204043.4375</v>
      </c>
      <c r="E72">
        <v>464743.71879999997</v>
      </c>
      <c r="F72">
        <v>858587.9375</v>
      </c>
      <c r="G72">
        <v>258636.3125</v>
      </c>
      <c r="H72">
        <v>190243.2188</v>
      </c>
      <c r="I72">
        <v>147001.17189999999</v>
      </c>
      <c r="J72">
        <v>9920052</v>
      </c>
      <c r="K72">
        <v>5584573</v>
      </c>
      <c r="L72">
        <v>4709583</v>
      </c>
      <c r="M72">
        <v>5779312.5</v>
      </c>
      <c r="N72">
        <v>553157.375</v>
      </c>
      <c r="O72">
        <v>1032868.375</v>
      </c>
      <c r="P72">
        <v>932773.375</v>
      </c>
      <c r="Q72">
        <v>1736675.75</v>
      </c>
      <c r="R72" s="2" t="s">
        <v>124</v>
      </c>
      <c r="S72" s="4" t="s">
        <v>421</v>
      </c>
      <c r="T72">
        <f t="shared" si="51"/>
        <v>5.1097131094275907</v>
      </c>
      <c r="U72">
        <f t="shared" si="52"/>
        <v>5.0630449671320132</v>
      </c>
      <c r="V72">
        <f t="shared" si="53"/>
        <v>5.3097226314377917</v>
      </c>
      <c r="W72">
        <f t="shared" si="54"/>
        <v>5.6672135288173973</v>
      </c>
      <c r="X72">
        <f t="shared" si="55"/>
        <v>5.9337847826829178</v>
      </c>
      <c r="Y72">
        <f t="shared" si="56"/>
        <v>5.4126894997061967</v>
      </c>
      <c r="Z72">
        <f t="shared" si="57"/>
        <v>5.2793091853362881</v>
      </c>
      <c r="AA72">
        <f t="shared" si="58"/>
        <v>5.167320796977255</v>
      </c>
      <c r="AB72">
        <f t="shared" si="59"/>
        <v>6.9965139486918675</v>
      </c>
      <c r="AC72">
        <f t="shared" si="60"/>
        <v>6.7469899722890201</v>
      </c>
      <c r="AD72">
        <f t="shared" si="61"/>
        <v>6.6729824551509109</v>
      </c>
      <c r="AE72">
        <f t="shared" si="62"/>
        <v>6.7618761783487624</v>
      </c>
      <c r="AF72">
        <f t="shared" si="63"/>
        <v>5.7428487070202259</v>
      </c>
      <c r="AG72">
        <f t="shared" si="64"/>
        <v>6.0140449801319988</v>
      </c>
      <c r="AH72">
        <f t="shared" si="65"/>
        <v>5.9697761411289108</v>
      </c>
      <c r="AI72">
        <f t="shared" si="66"/>
        <v>6.2397187400757703</v>
      </c>
      <c r="AJ72" t="str">
        <f t="shared" si="67"/>
        <v>C00295</v>
      </c>
      <c r="AL72">
        <f t="shared" si="68"/>
        <v>5.8804718515221825</v>
      </c>
      <c r="AM72">
        <f t="shared" si="69"/>
        <v>0.64808944153998105</v>
      </c>
      <c r="AN72">
        <f t="shared" si="70"/>
        <v>-1.1892783506287739</v>
      </c>
      <c r="AO72">
        <f t="shared" si="71"/>
        <v>-1.2612871495758533</v>
      </c>
      <c r="AP72">
        <f t="shared" si="72"/>
        <v>-0.8806642779555004</v>
      </c>
      <c r="AQ72">
        <f t="shared" si="73"/>
        <v>-0.32905693108970246</v>
      </c>
      <c r="AR72">
        <f t="shared" si="74"/>
        <v>8.2261687575180625E-2</v>
      </c>
      <c r="AS72">
        <f t="shared" si="75"/>
        <v>-0.72178671929054727</v>
      </c>
      <c r="AT72">
        <f t="shared" si="76"/>
        <v>-0.92759213104509175</v>
      </c>
      <c r="AU72">
        <f t="shared" si="77"/>
        <v>-1.1003898672540444</v>
      </c>
      <c r="AV72">
        <f t="shared" si="78"/>
        <v>1.7220494975473777</v>
      </c>
      <c r="AW72">
        <f t="shared" si="79"/>
        <v>1.3370347751813845</v>
      </c>
      <c r="AX72">
        <f t="shared" si="80"/>
        <v>1.2228414055713912</v>
      </c>
      <c r="AY72">
        <f t="shared" si="81"/>
        <v>1.3600041450022688</v>
      </c>
      <c r="AZ72">
        <f t="shared" si="82"/>
        <v>-0.21235208550063472</v>
      </c>
      <c r="BA72">
        <f t="shared" si="83"/>
        <v>0.20610292352923032</v>
      </c>
      <c r="BB72">
        <f t="shared" si="84"/>
        <v>0.13779624212751346</v>
      </c>
      <c r="BC72">
        <f t="shared" si="85"/>
        <v>0.55431683580579616</v>
      </c>
      <c r="BD72" t="str">
        <f t="shared" si="86"/>
        <v>C00295</v>
      </c>
    </row>
    <row r="73" spans="1:56" x14ac:dyDescent="0.2">
      <c r="A73" t="s">
        <v>125</v>
      </c>
      <c r="B73">
        <v>80577.617190000004</v>
      </c>
      <c r="C73">
        <v>63854.8125</v>
      </c>
      <c r="D73">
        <v>96903.445309999996</v>
      </c>
      <c r="E73">
        <v>60393.089840000001</v>
      </c>
      <c r="F73">
        <v>76283.046879999994</v>
      </c>
      <c r="G73">
        <v>67948.875</v>
      </c>
      <c r="H73">
        <v>56313.847659999999</v>
      </c>
      <c r="I73">
        <v>60461.371090000001</v>
      </c>
      <c r="J73">
        <v>59210.84375</v>
      </c>
      <c r="K73">
        <v>65766.703120000006</v>
      </c>
      <c r="L73">
        <v>70439.742190000004</v>
      </c>
      <c r="M73">
        <v>78010.289059999996</v>
      </c>
      <c r="N73">
        <v>95058.03125</v>
      </c>
      <c r="O73">
        <v>61706.976560000003</v>
      </c>
      <c r="P73">
        <v>81221.570309999996</v>
      </c>
      <c r="Q73">
        <v>61057.648439999997</v>
      </c>
      <c r="R73" s="2" t="s">
        <v>379</v>
      </c>
      <c r="S73" s="4" t="s">
        <v>421</v>
      </c>
      <c r="T73">
        <f t="shared" si="51"/>
        <v>4.9062144204545026</v>
      </c>
      <c r="U73">
        <f t="shared" si="52"/>
        <v>4.8051936339946231</v>
      </c>
      <c r="V73">
        <f t="shared" si="53"/>
        <v>4.98633921825326</v>
      </c>
      <c r="W73">
        <f t="shared" si="54"/>
        <v>4.7809872496138501</v>
      </c>
      <c r="X73">
        <f t="shared" si="55"/>
        <v>4.8824280312112034</v>
      </c>
      <c r="Y73">
        <f t="shared" si="56"/>
        <v>4.8321822707029982</v>
      </c>
      <c r="Z73">
        <f t="shared" si="57"/>
        <v>4.7506152016514074</v>
      </c>
      <c r="AA73">
        <f t="shared" si="58"/>
        <v>4.7814779915032197</v>
      </c>
      <c r="AB73">
        <f t="shared" si="59"/>
        <v>4.7724012497892838</v>
      </c>
      <c r="AC73">
        <f t="shared" si="60"/>
        <v>4.8180060712544313</v>
      </c>
      <c r="AD73">
        <f t="shared" si="61"/>
        <v>4.8478177577769932</v>
      </c>
      <c r="AE73">
        <f t="shared" si="62"/>
        <v>4.8921518871428757</v>
      </c>
      <c r="AF73">
        <f t="shared" si="63"/>
        <v>4.9779888153646379</v>
      </c>
      <c r="AG73">
        <f t="shared" si="64"/>
        <v>4.7903342679266903</v>
      </c>
      <c r="AH73">
        <f t="shared" si="65"/>
        <v>4.9096713817358362</v>
      </c>
      <c r="AI73">
        <f t="shared" si="66"/>
        <v>4.7857400739685705</v>
      </c>
      <c r="AJ73" t="str">
        <f t="shared" si="67"/>
        <v>C00719</v>
      </c>
      <c r="AL73">
        <f t="shared" si="68"/>
        <v>4.8449718451465245</v>
      </c>
      <c r="AM73">
        <f t="shared" si="69"/>
        <v>7.3263823853371865E-2</v>
      </c>
      <c r="AN73">
        <f t="shared" si="70"/>
        <v>0.83591835761326505</v>
      </c>
      <c r="AO73">
        <f t="shared" si="71"/>
        <v>-0.54294478584017636</v>
      </c>
      <c r="AP73">
        <f t="shared" si="72"/>
        <v>1.9295658576279635</v>
      </c>
      <c r="AQ73">
        <f t="shared" si="73"/>
        <v>-0.87334501760010885</v>
      </c>
      <c r="AR73">
        <f t="shared" si="74"/>
        <v>0.51125076599390551</v>
      </c>
      <c r="AS73">
        <f t="shared" si="75"/>
        <v>-0.17456875400228811</v>
      </c>
      <c r="AT73">
        <f t="shared" si="76"/>
        <v>-1.2879022487818788</v>
      </c>
      <c r="AU73">
        <f t="shared" si="77"/>
        <v>-0.8666467337328656</v>
      </c>
      <c r="AV73">
        <f t="shared" si="78"/>
        <v>-0.99053791544489089</v>
      </c>
      <c r="AW73">
        <f t="shared" si="79"/>
        <v>-0.36806397037181321</v>
      </c>
      <c r="AX73">
        <f t="shared" si="80"/>
        <v>3.8844718727273471E-2</v>
      </c>
      <c r="AY73">
        <f t="shared" si="81"/>
        <v>0.64397460458487776</v>
      </c>
      <c r="AZ73">
        <f t="shared" si="82"/>
        <v>1.8155886933274163</v>
      </c>
      <c r="BA73">
        <f t="shared" si="83"/>
        <v>-0.74576474917804314</v>
      </c>
      <c r="BB73">
        <f t="shared" si="84"/>
        <v>0.88310346343373403</v>
      </c>
      <c r="BC73">
        <f t="shared" si="85"/>
        <v>-0.80847228635648005</v>
      </c>
      <c r="BD73" t="str">
        <f t="shared" si="86"/>
        <v>C00719</v>
      </c>
    </row>
    <row r="74" spans="1:56" x14ac:dyDescent="0.2">
      <c r="A74" t="s">
        <v>126</v>
      </c>
      <c r="B74">
        <v>88863.6875</v>
      </c>
      <c r="C74">
        <v>94004.507809999996</v>
      </c>
      <c r="D74">
        <v>87106.140620000006</v>
      </c>
      <c r="E74">
        <v>38109.65625</v>
      </c>
      <c r="F74">
        <v>54880.398439999997</v>
      </c>
      <c r="G74">
        <v>48698.691409999999</v>
      </c>
      <c r="H74">
        <v>65061.910159999999</v>
      </c>
      <c r="I74">
        <v>65336.109380000002</v>
      </c>
      <c r="J74">
        <v>196159.6562</v>
      </c>
      <c r="K74">
        <v>71273</v>
      </c>
      <c r="L74">
        <v>80117.125</v>
      </c>
      <c r="M74">
        <v>61229.636720000002</v>
      </c>
      <c r="N74">
        <v>120294.64840000001</v>
      </c>
      <c r="O74">
        <v>92108.882809999996</v>
      </c>
      <c r="P74">
        <v>120613.7344</v>
      </c>
      <c r="Q74">
        <v>114675.3281</v>
      </c>
      <c r="R74" s="2" t="s">
        <v>127</v>
      </c>
      <c r="S74" s="4" t="s">
        <v>421</v>
      </c>
      <c r="T74">
        <f t="shared" si="51"/>
        <v>4.9487243308233122</v>
      </c>
      <c r="U74">
        <f t="shared" si="52"/>
        <v>4.9731486798770224</v>
      </c>
      <c r="V74">
        <f t="shared" si="53"/>
        <v>4.940048772038419</v>
      </c>
      <c r="W74">
        <f t="shared" si="54"/>
        <v>4.5810350314433439</v>
      </c>
      <c r="X74">
        <f t="shared" si="55"/>
        <v>4.7394172557538194</v>
      </c>
      <c r="Y74">
        <f t="shared" si="56"/>
        <v>4.6875172913778451</v>
      </c>
      <c r="Z74">
        <f t="shared" si="57"/>
        <v>4.8133268096339643</v>
      </c>
      <c r="AA74">
        <f t="shared" si="58"/>
        <v>4.8151532696388921</v>
      </c>
      <c r="AB74">
        <f t="shared" si="59"/>
        <v>5.292609691671041</v>
      </c>
      <c r="AC74">
        <f t="shared" si="60"/>
        <v>4.8529250393641634</v>
      </c>
      <c r="AD74">
        <f t="shared" si="61"/>
        <v>4.9037253562601046</v>
      </c>
      <c r="AE74">
        <f t="shared" si="62"/>
        <v>4.7869616827418344</v>
      </c>
      <c r="AF74">
        <f t="shared" si="63"/>
        <v>5.0802463071233293</v>
      </c>
      <c r="AG74">
        <f t="shared" si="64"/>
        <v>4.9643015147716962</v>
      </c>
      <c r="AH74">
        <f t="shared" si="65"/>
        <v>5.0813967641433706</v>
      </c>
      <c r="AI74">
        <f t="shared" si="66"/>
        <v>5.0594699913749004</v>
      </c>
      <c r="AJ74" t="str">
        <f t="shared" si="67"/>
        <v>C01717</v>
      </c>
      <c r="AL74">
        <f t="shared" si="68"/>
        <v>4.9075004867523155</v>
      </c>
      <c r="AM74">
        <f t="shared" si="69"/>
        <v>0.17510434958332774</v>
      </c>
      <c r="AN74">
        <f t="shared" si="70"/>
        <v>0.23542444359087308</v>
      </c>
      <c r="AO74">
        <f t="shared" si="71"/>
        <v>0.37490898016480456</v>
      </c>
      <c r="AP74">
        <f t="shared" si="72"/>
        <v>0.18587936486760154</v>
      </c>
      <c r="AQ74">
        <f t="shared" si="73"/>
        <v>-1.864405173748211</v>
      </c>
      <c r="AR74">
        <f t="shared" si="74"/>
        <v>-0.95990323140722167</v>
      </c>
      <c r="AS74">
        <f t="shared" si="75"/>
        <v>-1.2562977213183728</v>
      </c>
      <c r="AT74">
        <f t="shared" si="76"/>
        <v>-0.53781460793203395</v>
      </c>
      <c r="AU74">
        <f t="shared" si="77"/>
        <v>-0.52738391326754397</v>
      </c>
      <c r="AV74">
        <f t="shared" si="78"/>
        <v>2.1993126146501671</v>
      </c>
      <c r="AW74">
        <f t="shared" si="79"/>
        <v>-0.31167385343663917</v>
      </c>
      <c r="AX74">
        <f t="shared" si="80"/>
        <v>-2.1559318778740042E-2</v>
      </c>
      <c r="AY74">
        <f t="shared" si="81"/>
        <v>-0.6883826946464271</v>
      </c>
      <c r="AZ74">
        <f t="shared" si="82"/>
        <v>0.98653072172149747</v>
      </c>
      <c r="BA74">
        <f t="shared" si="83"/>
        <v>0.324383878267687</v>
      </c>
      <c r="BB74">
        <f t="shared" si="84"/>
        <v>0.9931008441814988</v>
      </c>
      <c r="BC74">
        <f t="shared" si="85"/>
        <v>0.86787966709111586</v>
      </c>
      <c r="BD74" t="str">
        <f t="shared" si="86"/>
        <v>C01717</v>
      </c>
    </row>
    <row r="75" spans="1:56" x14ac:dyDescent="0.2">
      <c r="A75" t="s">
        <v>128</v>
      </c>
      <c r="L75">
        <v>19429.859380000002</v>
      </c>
      <c r="R75" s="2"/>
      <c r="S75" s="4" t="s">
        <v>421</v>
      </c>
      <c r="T75" t="e">
        <f t="shared" si="51"/>
        <v>#NUM!</v>
      </c>
      <c r="U75" t="e">
        <f t="shared" si="52"/>
        <v>#NUM!</v>
      </c>
      <c r="V75" t="e">
        <f t="shared" si="53"/>
        <v>#NUM!</v>
      </c>
      <c r="W75" t="e">
        <f t="shared" si="54"/>
        <v>#NUM!</v>
      </c>
      <c r="X75" t="e">
        <f t="shared" si="55"/>
        <v>#NUM!</v>
      </c>
      <c r="Y75" t="e">
        <f t="shared" si="56"/>
        <v>#NUM!</v>
      </c>
      <c r="Z75" t="e">
        <f t="shared" si="57"/>
        <v>#NUM!</v>
      </c>
      <c r="AA75" t="e">
        <f t="shared" si="58"/>
        <v>#NUM!</v>
      </c>
      <c r="AB75" t="e">
        <f t="shared" si="59"/>
        <v>#NUM!</v>
      </c>
      <c r="AC75" t="e">
        <f t="shared" si="60"/>
        <v>#NUM!</v>
      </c>
      <c r="AD75">
        <f t="shared" si="61"/>
        <v>4.2884696574854733</v>
      </c>
      <c r="AE75" t="e">
        <f t="shared" si="62"/>
        <v>#NUM!</v>
      </c>
      <c r="AF75" t="e">
        <f t="shared" si="63"/>
        <v>#NUM!</v>
      </c>
      <c r="AG75" t="e">
        <f t="shared" si="64"/>
        <v>#NUM!</v>
      </c>
      <c r="AH75" t="e">
        <f t="shared" si="65"/>
        <v>#NUM!</v>
      </c>
      <c r="AI75" t="e">
        <f t="shared" si="66"/>
        <v>#NUM!</v>
      </c>
      <c r="AJ75">
        <f t="shared" si="67"/>
        <v>0</v>
      </c>
      <c r="AL75" t="e">
        <f t="shared" si="68"/>
        <v>#NUM!</v>
      </c>
      <c r="AM75" t="e">
        <f t="shared" si="69"/>
        <v>#NUM!</v>
      </c>
      <c r="AN75" t="e">
        <f t="shared" si="70"/>
        <v>#NUM!</v>
      </c>
      <c r="AO75" t="e">
        <f t="shared" si="71"/>
        <v>#NUM!</v>
      </c>
      <c r="AP75" t="e">
        <f t="shared" si="72"/>
        <v>#NUM!</v>
      </c>
      <c r="AQ75" t="e">
        <f t="shared" si="73"/>
        <v>#NUM!</v>
      </c>
      <c r="AR75" t="e">
        <f t="shared" si="74"/>
        <v>#NUM!</v>
      </c>
      <c r="AS75" t="e">
        <f t="shared" si="75"/>
        <v>#NUM!</v>
      </c>
      <c r="AT75" t="e">
        <f t="shared" si="76"/>
        <v>#NUM!</v>
      </c>
      <c r="AU75" t="e">
        <f t="shared" si="77"/>
        <v>#NUM!</v>
      </c>
      <c r="AV75" t="e">
        <f t="shared" si="78"/>
        <v>#NUM!</v>
      </c>
      <c r="AW75" t="e">
        <f t="shared" si="79"/>
        <v>#NUM!</v>
      </c>
      <c r="AX75" t="e">
        <f t="shared" si="80"/>
        <v>#NUM!</v>
      </c>
      <c r="AY75" t="e">
        <f t="shared" si="81"/>
        <v>#NUM!</v>
      </c>
      <c r="AZ75" t="e">
        <f t="shared" si="82"/>
        <v>#NUM!</v>
      </c>
      <c r="BA75" t="e">
        <f t="shared" si="83"/>
        <v>#NUM!</v>
      </c>
      <c r="BB75" t="e">
        <f t="shared" si="84"/>
        <v>#NUM!</v>
      </c>
      <c r="BC75" t="e">
        <f t="shared" si="85"/>
        <v>#NUM!</v>
      </c>
      <c r="BD75">
        <f t="shared" si="86"/>
        <v>0</v>
      </c>
    </row>
    <row r="76" spans="1:56" x14ac:dyDescent="0.2">
      <c r="A76" t="s">
        <v>129</v>
      </c>
      <c r="B76">
        <v>996246.5625</v>
      </c>
      <c r="C76">
        <v>856752.75</v>
      </c>
      <c r="D76">
        <v>1295736.75</v>
      </c>
      <c r="E76">
        <v>759279.0625</v>
      </c>
      <c r="F76">
        <v>945251.25</v>
      </c>
      <c r="G76">
        <v>761788.9375</v>
      </c>
      <c r="H76">
        <v>773040.75</v>
      </c>
      <c r="I76">
        <v>891782.875</v>
      </c>
      <c r="J76">
        <v>357242.40620000003</v>
      </c>
      <c r="K76">
        <v>257397.8125</v>
      </c>
      <c r="L76">
        <v>255022.1562</v>
      </c>
      <c r="M76">
        <v>328546.46879999997</v>
      </c>
      <c r="N76">
        <v>900316.25</v>
      </c>
      <c r="O76">
        <v>1781227.5</v>
      </c>
      <c r="P76">
        <v>2755042.75</v>
      </c>
      <c r="Q76">
        <v>832530.375</v>
      </c>
      <c r="R76" s="2"/>
      <c r="S76" s="4" t="s">
        <v>421</v>
      </c>
      <c r="T76">
        <f t="shared" si="51"/>
        <v>5.9983668358949016</v>
      </c>
      <c r="U76">
        <f t="shared" si="52"/>
        <v>5.9328555071000473</v>
      </c>
      <c r="V76">
        <f t="shared" si="53"/>
        <v>6.1125167765072801</v>
      </c>
      <c r="W76">
        <f t="shared" si="54"/>
        <v>5.8804014241554272</v>
      </c>
      <c r="X76">
        <f t="shared" si="55"/>
        <v>5.9755472603458593</v>
      </c>
      <c r="Y76">
        <f t="shared" si="56"/>
        <v>5.8818346616596742</v>
      </c>
      <c r="Z76">
        <f t="shared" si="57"/>
        <v>5.8882023878816847</v>
      </c>
      <c r="AA76">
        <f t="shared" si="58"/>
        <v>5.9502591282912158</v>
      </c>
      <c r="AB76">
        <f t="shared" si="59"/>
        <v>5.552963005887114</v>
      </c>
      <c r="AC76">
        <f t="shared" si="60"/>
        <v>5.4106048517244831</v>
      </c>
      <c r="AD76">
        <f t="shared" si="61"/>
        <v>5.4065779133649228</v>
      </c>
      <c r="AE76">
        <f t="shared" si="62"/>
        <v>5.5165968037775892</v>
      </c>
      <c r="AF76">
        <f t="shared" si="63"/>
        <v>5.9543950888889796</v>
      </c>
      <c r="AG76">
        <f t="shared" si="64"/>
        <v>6.2507193914929031</v>
      </c>
      <c r="AH76">
        <f t="shared" si="65"/>
        <v>6.4401283421878244</v>
      </c>
      <c r="AI76">
        <f t="shared" si="66"/>
        <v>5.9204000877690293</v>
      </c>
      <c r="AJ76">
        <f t="shared" si="67"/>
        <v>0</v>
      </c>
      <c r="AL76">
        <f t="shared" si="68"/>
        <v>5.8795230916830583</v>
      </c>
      <c r="AM76">
        <f t="shared" si="69"/>
        <v>0.285986017641637</v>
      </c>
      <c r="AN76">
        <f t="shared" si="70"/>
        <v>0.41555788353528478</v>
      </c>
      <c r="AO76">
        <f t="shared" si="71"/>
        <v>0.18648609416918654</v>
      </c>
      <c r="AP76">
        <f t="shared" si="72"/>
        <v>0.81470306396650904</v>
      </c>
      <c r="AQ76">
        <f t="shared" si="73"/>
        <v>3.0712427118360841E-3</v>
      </c>
      <c r="AR76">
        <f t="shared" si="74"/>
        <v>0.33576525682848868</v>
      </c>
      <c r="AS76">
        <f t="shared" si="75"/>
        <v>8.0828076689834407E-3</v>
      </c>
      <c r="AT76">
        <f t="shared" si="76"/>
        <v>3.034867323304679E-2</v>
      </c>
      <c r="AU76">
        <f t="shared" si="77"/>
        <v>0.24734089166833095</v>
      </c>
      <c r="AV76">
        <f t="shared" si="78"/>
        <v>-1.1418743073136877</v>
      </c>
      <c r="AW76">
        <f t="shared" si="79"/>
        <v>-1.6396544272530367</v>
      </c>
      <c r="AX76">
        <f t="shared" si="80"/>
        <v>-1.6537353197133333</v>
      </c>
      <c r="AY76">
        <f t="shared" si="81"/>
        <v>-1.2690350769534626</v>
      </c>
      <c r="AZ76">
        <f t="shared" si="82"/>
        <v>0.26180299940307505</v>
      </c>
      <c r="BA76">
        <f t="shared" si="83"/>
        <v>1.2979526162533688</v>
      </c>
      <c r="BB76">
        <f t="shared" si="84"/>
        <v>1.9602540541238929</v>
      </c>
      <c r="BC76">
        <f t="shared" si="85"/>
        <v>0.14293354767152652</v>
      </c>
      <c r="BD76">
        <f t="shared" si="86"/>
        <v>0</v>
      </c>
    </row>
    <row r="77" spans="1:56" x14ac:dyDescent="0.2">
      <c r="A77" t="s">
        <v>130</v>
      </c>
      <c r="B77">
        <v>5907575.5</v>
      </c>
      <c r="C77">
        <v>3795210.75</v>
      </c>
      <c r="D77">
        <v>7342757</v>
      </c>
      <c r="E77">
        <v>5940662</v>
      </c>
      <c r="F77">
        <v>4140848.75</v>
      </c>
      <c r="G77">
        <v>4714731</v>
      </c>
      <c r="H77">
        <v>4728905</v>
      </c>
      <c r="I77">
        <v>5844405.5</v>
      </c>
      <c r="J77">
        <v>3238278.75</v>
      </c>
      <c r="K77">
        <v>1614684.625</v>
      </c>
      <c r="L77">
        <v>1471398.375</v>
      </c>
      <c r="M77">
        <v>2094902.5</v>
      </c>
      <c r="N77">
        <v>2417930.5</v>
      </c>
      <c r="O77">
        <v>4184461.25</v>
      </c>
      <c r="P77">
        <v>4801410</v>
      </c>
      <c r="Q77">
        <v>2345953.25</v>
      </c>
      <c r="R77" s="2" t="s">
        <v>380</v>
      </c>
      <c r="S77" s="4" t="s">
        <v>421</v>
      </c>
      <c r="T77">
        <f t="shared" si="51"/>
        <v>6.7714092807104764</v>
      </c>
      <c r="U77">
        <f t="shared" si="52"/>
        <v>6.5792358974965133</v>
      </c>
      <c r="V77">
        <f t="shared" si="53"/>
        <v>6.8658591559750297</v>
      </c>
      <c r="W77">
        <f t="shared" si="54"/>
        <v>6.773834843453824</v>
      </c>
      <c r="X77">
        <f t="shared" si="55"/>
        <v>6.617089367609351</v>
      </c>
      <c r="Y77">
        <f t="shared" si="56"/>
        <v>6.6734569190143205</v>
      </c>
      <c r="Z77">
        <f t="shared" si="57"/>
        <v>6.674760589466854</v>
      </c>
      <c r="AA77">
        <f t="shared" si="58"/>
        <v>6.7667403407843176</v>
      </c>
      <c r="AB77">
        <f t="shared" si="59"/>
        <v>6.5103142299566681</v>
      </c>
      <c r="AC77">
        <f t="shared" si="60"/>
        <v>6.208087709950588</v>
      </c>
      <c r="AD77">
        <f t="shared" si="61"/>
        <v>6.1677302720755689</v>
      </c>
      <c r="AE77">
        <f t="shared" si="62"/>
        <v>6.3211638150362806</v>
      </c>
      <c r="AF77">
        <f t="shared" si="63"/>
        <v>6.3834438135221561</v>
      </c>
      <c r="AG77">
        <f t="shared" si="64"/>
        <v>6.6216395504502561</v>
      </c>
      <c r="AH77">
        <f t="shared" si="65"/>
        <v>6.6813687926458831</v>
      </c>
      <c r="AI77">
        <f t="shared" si="66"/>
        <v>6.3703193532742555</v>
      </c>
      <c r="AJ77" t="str">
        <f t="shared" si="67"/>
        <v>C00387</v>
      </c>
      <c r="AL77">
        <f t="shared" si="68"/>
        <v>6.5616533707138966</v>
      </c>
      <c r="AM77">
        <f t="shared" si="69"/>
        <v>0.21279856045336162</v>
      </c>
      <c r="AN77">
        <f t="shared" si="70"/>
        <v>0.98570173383551296</v>
      </c>
      <c r="AO77">
        <f t="shared" si="71"/>
        <v>8.2625214875314587E-2</v>
      </c>
      <c r="AP77">
        <f t="shared" si="72"/>
        <v>1.4295481351613977</v>
      </c>
      <c r="AQ77">
        <f t="shared" si="73"/>
        <v>0.99710013210559534</v>
      </c>
      <c r="AR77">
        <f t="shared" si="74"/>
        <v>0.26050926649761824</v>
      </c>
      <c r="AS77">
        <f t="shared" si="75"/>
        <v>0.52539616838680381</v>
      </c>
      <c r="AT77">
        <f t="shared" si="76"/>
        <v>0.5315224807535609</v>
      </c>
      <c r="AU77">
        <f t="shared" si="77"/>
        <v>0.96376107823985602</v>
      </c>
      <c r="AV77">
        <f t="shared" si="78"/>
        <v>-0.24125699275339035</v>
      </c>
      <c r="AW77">
        <f t="shared" si="79"/>
        <v>-1.6615040064652997</v>
      </c>
      <c r="AX77">
        <f t="shared" si="80"/>
        <v>-1.851154903487529</v>
      </c>
      <c r="AY77">
        <f t="shared" si="81"/>
        <v>-1.1301277375432406</v>
      </c>
      <c r="AZ77">
        <f t="shared" si="82"/>
        <v>-0.83745659186824339</v>
      </c>
      <c r="BA77">
        <f t="shared" si="83"/>
        <v>0.28189184930838113</v>
      </c>
      <c r="BB77">
        <f t="shared" si="84"/>
        <v>0.56257627719349224</v>
      </c>
      <c r="BC77">
        <f t="shared" si="85"/>
        <v>-0.89913210423984635</v>
      </c>
      <c r="BD77" t="str">
        <f t="shared" si="86"/>
        <v>C00387</v>
      </c>
    </row>
    <row r="78" spans="1:56" x14ac:dyDescent="0.2">
      <c r="A78" t="s">
        <v>131</v>
      </c>
      <c r="B78">
        <v>402759168</v>
      </c>
      <c r="C78">
        <v>197762752</v>
      </c>
      <c r="D78">
        <v>459713536</v>
      </c>
      <c r="E78">
        <v>266498592</v>
      </c>
      <c r="F78">
        <v>288034784</v>
      </c>
      <c r="G78">
        <v>220562176</v>
      </c>
      <c r="H78">
        <v>233926768</v>
      </c>
      <c r="I78">
        <v>255765136</v>
      </c>
      <c r="J78">
        <v>105355680</v>
      </c>
      <c r="K78">
        <v>59985180</v>
      </c>
      <c r="L78">
        <v>64179140</v>
      </c>
      <c r="M78">
        <v>84143544</v>
      </c>
      <c r="N78">
        <v>74147104</v>
      </c>
      <c r="O78">
        <v>107036552</v>
      </c>
      <c r="P78">
        <v>88443096</v>
      </c>
      <c r="Q78">
        <v>71852248</v>
      </c>
      <c r="R78" s="2" t="s">
        <v>132</v>
      </c>
      <c r="S78" s="4" t="s">
        <v>421</v>
      </c>
      <c r="T78">
        <f t="shared" si="51"/>
        <v>8.6050454350415801</v>
      </c>
      <c r="U78">
        <f t="shared" si="52"/>
        <v>8.296144496946841</v>
      </c>
      <c r="V78">
        <f t="shared" si="53"/>
        <v>8.6624872914891835</v>
      </c>
      <c r="W78">
        <f t="shared" si="54"/>
        <v>8.4256949188475971</v>
      </c>
      <c r="X78">
        <f t="shared" si="55"/>
        <v>8.4594449377143253</v>
      </c>
      <c r="Y78">
        <f t="shared" si="56"/>
        <v>8.3435310377374119</v>
      </c>
      <c r="Z78">
        <f t="shared" si="57"/>
        <v>8.3690799205245732</v>
      </c>
      <c r="AA78">
        <f t="shared" si="58"/>
        <v>8.4078413443852433</v>
      </c>
      <c r="AB78">
        <f t="shared" si="59"/>
        <v>8.0226579545256129</v>
      </c>
      <c r="AC78">
        <f t="shared" si="60"/>
        <v>7.7780439663964955</v>
      </c>
      <c r="AD78">
        <f t="shared" si="61"/>
        <v>7.8073938932556395</v>
      </c>
      <c r="AE78">
        <f t="shared" si="62"/>
        <v>7.9250207998990696</v>
      </c>
      <c r="AF78">
        <f t="shared" si="63"/>
        <v>7.8700941932419344</v>
      </c>
      <c r="AG78">
        <f t="shared" si="64"/>
        <v>8.0295321105929158</v>
      </c>
      <c r="AH78">
        <f t="shared" si="65"/>
        <v>7.9466639368938079</v>
      </c>
      <c r="AI78">
        <f t="shared" si="66"/>
        <v>7.8564403602047301</v>
      </c>
      <c r="AJ78" t="str">
        <f t="shared" si="67"/>
        <v>C00079</v>
      </c>
      <c r="AL78">
        <f t="shared" si="68"/>
        <v>8.1753197873560612</v>
      </c>
      <c r="AM78">
        <f t="shared" si="69"/>
        <v>0.29971665203343711</v>
      </c>
      <c r="AN78">
        <f t="shared" si="70"/>
        <v>1.4337730145123124</v>
      </c>
      <c r="AO78">
        <f t="shared" si="71"/>
        <v>0.40312978531903604</v>
      </c>
      <c r="AP78">
        <f t="shared" si="72"/>
        <v>1.6254268851193916</v>
      </c>
      <c r="AQ78">
        <f t="shared" si="73"/>
        <v>0.83537277556271194</v>
      </c>
      <c r="AR78">
        <f t="shared" si="74"/>
        <v>0.94797919445118561</v>
      </c>
      <c r="AS78">
        <f t="shared" si="75"/>
        <v>0.56123424988273463</v>
      </c>
      <c r="AT78">
        <f t="shared" si="76"/>
        <v>0.64647770437157948</v>
      </c>
      <c r="AU78">
        <f t="shared" si="77"/>
        <v>0.77580459894914822</v>
      </c>
      <c r="AV78">
        <f t="shared" si="78"/>
        <v>-0.50935385736731431</v>
      </c>
      <c r="AW78">
        <f t="shared" si="79"/>
        <v>-1.325504666705154</v>
      </c>
      <c r="AX78">
        <f t="shared" si="80"/>
        <v>-1.2275790871285157</v>
      </c>
      <c r="AY78">
        <f t="shared" si="81"/>
        <v>-0.83511872216251659</v>
      </c>
      <c r="AZ78">
        <f t="shared" si="82"/>
        <v>-1.0183805005271285</v>
      </c>
      <c r="BA78">
        <f t="shared" si="83"/>
        <v>-0.48641834137023854</v>
      </c>
      <c r="BB78">
        <f t="shared" si="84"/>
        <v>-0.76290672844144791</v>
      </c>
      <c r="BC78">
        <f t="shared" si="85"/>
        <v>-1.0639363044658465</v>
      </c>
      <c r="BD78" t="str">
        <f t="shared" si="86"/>
        <v>C00079</v>
      </c>
    </row>
    <row r="79" spans="1:56" x14ac:dyDescent="0.2">
      <c r="A79" t="s">
        <v>133</v>
      </c>
      <c r="B79">
        <v>44854.605470000002</v>
      </c>
      <c r="G79">
        <v>24312.355469999999</v>
      </c>
      <c r="J79">
        <v>63536.417970000002</v>
      </c>
      <c r="K79">
        <v>35265.148439999997</v>
      </c>
      <c r="L79">
        <v>47829.425779999998</v>
      </c>
      <c r="M79">
        <v>35334.394529999998</v>
      </c>
      <c r="N79">
        <v>63146.683590000001</v>
      </c>
      <c r="O79">
        <v>43100.535159999999</v>
      </c>
      <c r="P79">
        <v>51233.835939999997</v>
      </c>
      <c r="Q79">
        <v>44667.488279999998</v>
      </c>
      <c r="R79" s="2" t="s">
        <v>134</v>
      </c>
      <c r="S79" s="4" t="s">
        <v>421</v>
      </c>
      <c r="T79">
        <f t="shared" si="51"/>
        <v>4.6518070410818249</v>
      </c>
      <c r="U79" t="e">
        <f t="shared" si="52"/>
        <v>#NUM!</v>
      </c>
      <c r="V79" t="e">
        <f t="shared" si="53"/>
        <v>#NUM!</v>
      </c>
      <c r="W79" t="e">
        <f t="shared" si="54"/>
        <v>#NUM!</v>
      </c>
      <c r="X79" t="e">
        <f t="shared" si="55"/>
        <v>#NUM!</v>
      </c>
      <c r="Y79">
        <f t="shared" si="56"/>
        <v>4.3858270369209693</v>
      </c>
      <c r="Z79" t="e">
        <f t="shared" si="57"/>
        <v>#NUM!</v>
      </c>
      <c r="AA79" t="e">
        <f t="shared" si="58"/>
        <v>#NUM!</v>
      </c>
      <c r="AB79">
        <f t="shared" si="59"/>
        <v>4.8030227267058869</v>
      </c>
      <c r="AC79">
        <f t="shared" si="60"/>
        <v>4.5473457162406579</v>
      </c>
      <c r="AD79">
        <f t="shared" si="61"/>
        <v>4.679695166946094</v>
      </c>
      <c r="AE79">
        <f t="shared" si="62"/>
        <v>4.5481976538923474</v>
      </c>
      <c r="AF79">
        <f t="shared" si="63"/>
        <v>4.8003505467142524</v>
      </c>
      <c r="AG79">
        <f t="shared" si="64"/>
        <v>4.6344826626338644</v>
      </c>
      <c r="AH79">
        <f t="shared" si="65"/>
        <v>4.7095568732530406</v>
      </c>
      <c r="AI79">
        <f t="shared" si="66"/>
        <v>4.649991532126978</v>
      </c>
      <c r="AJ79" t="str">
        <f t="shared" si="67"/>
        <v>C02470</v>
      </c>
      <c r="AL79" t="e">
        <f t="shared" si="68"/>
        <v>#NUM!</v>
      </c>
      <c r="AM79" t="e">
        <f t="shared" si="69"/>
        <v>#NUM!</v>
      </c>
      <c r="AN79" t="e">
        <f t="shared" si="70"/>
        <v>#NUM!</v>
      </c>
      <c r="AO79" t="e">
        <f t="shared" si="71"/>
        <v>#NUM!</v>
      </c>
      <c r="AP79" t="e">
        <f t="shared" si="72"/>
        <v>#NUM!</v>
      </c>
      <c r="AQ79" t="e">
        <f t="shared" si="73"/>
        <v>#NUM!</v>
      </c>
      <c r="AR79" t="e">
        <f t="shared" si="74"/>
        <v>#NUM!</v>
      </c>
      <c r="AS79" t="e">
        <f t="shared" si="75"/>
        <v>#NUM!</v>
      </c>
      <c r="AT79" t="e">
        <f t="shared" si="76"/>
        <v>#NUM!</v>
      </c>
      <c r="AU79" t="e">
        <f t="shared" si="77"/>
        <v>#NUM!</v>
      </c>
      <c r="AV79" t="e">
        <f t="shared" si="78"/>
        <v>#NUM!</v>
      </c>
      <c r="AW79" t="e">
        <f t="shared" si="79"/>
        <v>#NUM!</v>
      </c>
      <c r="AX79" t="e">
        <f t="shared" si="80"/>
        <v>#NUM!</v>
      </c>
      <c r="AY79" t="e">
        <f t="shared" si="81"/>
        <v>#NUM!</v>
      </c>
      <c r="AZ79" t="e">
        <f t="shared" si="82"/>
        <v>#NUM!</v>
      </c>
      <c r="BA79" t="e">
        <f t="shared" si="83"/>
        <v>#NUM!</v>
      </c>
      <c r="BB79" t="e">
        <f t="shared" si="84"/>
        <v>#NUM!</v>
      </c>
      <c r="BC79" t="e">
        <f t="shared" si="85"/>
        <v>#NUM!</v>
      </c>
      <c r="BD79" t="str">
        <f t="shared" si="86"/>
        <v>C02470</v>
      </c>
    </row>
    <row r="80" spans="1:56" x14ac:dyDescent="0.2">
      <c r="A80" t="s">
        <v>135</v>
      </c>
      <c r="B80">
        <v>2782372</v>
      </c>
      <c r="C80">
        <v>3511304</v>
      </c>
      <c r="D80">
        <v>1958741</v>
      </c>
      <c r="E80">
        <v>1279102.125</v>
      </c>
      <c r="F80">
        <v>3541106.25</v>
      </c>
      <c r="G80">
        <v>2307106.5</v>
      </c>
      <c r="H80">
        <v>1639822</v>
      </c>
      <c r="I80">
        <v>2367506.5</v>
      </c>
      <c r="J80">
        <v>7337711.5</v>
      </c>
      <c r="K80">
        <v>3768320.75</v>
      </c>
      <c r="L80">
        <v>3920185.25</v>
      </c>
      <c r="M80">
        <v>9675470</v>
      </c>
      <c r="N80">
        <v>11505007</v>
      </c>
      <c r="O80">
        <v>4550830</v>
      </c>
      <c r="P80">
        <v>7173897</v>
      </c>
      <c r="Q80">
        <v>11210189</v>
      </c>
      <c r="R80" s="2" t="s">
        <v>136</v>
      </c>
      <c r="S80" s="4" t="s">
        <v>421</v>
      </c>
      <c r="T80">
        <f t="shared" si="51"/>
        <v>6.4444151942206416</v>
      </c>
      <c r="U80">
        <f t="shared" si="52"/>
        <v>6.5454684312332558</v>
      </c>
      <c r="V80">
        <f t="shared" si="53"/>
        <v>6.2919770139900777</v>
      </c>
      <c r="W80">
        <f t="shared" si="54"/>
        <v>6.1069052204390504</v>
      </c>
      <c r="X80">
        <f t="shared" si="55"/>
        <v>6.5491389578500145</v>
      </c>
      <c r="Y80">
        <f t="shared" si="56"/>
        <v>6.363067642763296</v>
      </c>
      <c r="Z80">
        <f t="shared" si="57"/>
        <v>6.2147967086493683</v>
      </c>
      <c r="AA80">
        <f t="shared" si="58"/>
        <v>6.3742911800344482</v>
      </c>
      <c r="AB80">
        <f t="shared" si="59"/>
        <v>6.8655606324102374</v>
      </c>
      <c r="AC80">
        <f t="shared" si="60"/>
        <v>6.5761478617499458</v>
      </c>
      <c r="AD80">
        <f t="shared" si="61"/>
        <v>6.5933065902734729</v>
      </c>
      <c r="AE80">
        <f t="shared" si="62"/>
        <v>6.9856720706882349</v>
      </c>
      <c r="AF80">
        <f t="shared" si="63"/>
        <v>7.0608868872428587</v>
      </c>
      <c r="AG80">
        <f t="shared" si="64"/>
        <v>6.6580906123816073</v>
      </c>
      <c r="AH80">
        <f t="shared" si="65"/>
        <v>6.8557551369548406</v>
      </c>
      <c r="AI80">
        <f t="shared" si="66"/>
        <v>7.0496129347149683</v>
      </c>
      <c r="AJ80" t="str">
        <f t="shared" si="67"/>
        <v>C00794</v>
      </c>
      <c r="AL80">
        <f t="shared" si="68"/>
        <v>6.595943317224771</v>
      </c>
      <c r="AM80">
        <f t="shared" si="69"/>
        <v>0.29734607425927312</v>
      </c>
      <c r="AN80">
        <f t="shared" si="70"/>
        <v>-0.50960189530534494</v>
      </c>
      <c r="AO80">
        <f t="shared" si="71"/>
        <v>-0.16975131121961012</v>
      </c>
      <c r="AP80">
        <f t="shared" si="72"/>
        <v>-1.0222643900442003</v>
      </c>
      <c r="AQ80">
        <f t="shared" si="73"/>
        <v>-1.6446764868309653</v>
      </c>
      <c r="AR80">
        <f t="shared" si="74"/>
        <v>-0.15740701972054644</v>
      </c>
      <c r="AS80">
        <f t="shared" si="75"/>
        <v>-0.78318059198056666</v>
      </c>
      <c r="AT80">
        <f t="shared" si="76"/>
        <v>-1.2818282855251659</v>
      </c>
      <c r="AU80">
        <f t="shared" si="77"/>
        <v>-0.7454348867476609</v>
      </c>
      <c r="AV80">
        <f t="shared" si="78"/>
        <v>0.90674583768128569</v>
      </c>
      <c r="AW80">
        <f t="shared" si="79"/>
        <v>-6.6573791243547412E-2</v>
      </c>
      <c r="AX80">
        <f t="shared" si="80"/>
        <v>-8.8675357758347794E-3</v>
      </c>
      <c r="AY80">
        <f t="shared" si="81"/>
        <v>1.3106907647404722</v>
      </c>
      <c r="AZ80">
        <f t="shared" si="82"/>
        <v>1.5636445551747111</v>
      </c>
      <c r="BA80">
        <f t="shared" si="83"/>
        <v>0.20900661060231945</v>
      </c>
      <c r="BB80">
        <f t="shared" si="84"/>
        <v>0.87376912702578602</v>
      </c>
      <c r="BC80">
        <f t="shared" si="85"/>
        <v>1.5257292991688085</v>
      </c>
      <c r="BD80" t="str">
        <f t="shared" si="86"/>
        <v>C00794</v>
      </c>
    </row>
    <row r="81" spans="1:56" x14ac:dyDescent="0.2">
      <c r="A81" t="s">
        <v>135</v>
      </c>
      <c r="B81">
        <v>2511097.5</v>
      </c>
      <c r="C81">
        <v>4462033</v>
      </c>
      <c r="D81">
        <v>1707847.875</v>
      </c>
      <c r="E81">
        <v>1080698.375</v>
      </c>
      <c r="F81">
        <v>4032523</v>
      </c>
      <c r="G81">
        <v>2554951</v>
      </c>
      <c r="H81">
        <v>1483567.125</v>
      </c>
      <c r="I81">
        <v>2192508.5</v>
      </c>
      <c r="J81">
        <v>11116872</v>
      </c>
      <c r="K81">
        <v>5187660.5</v>
      </c>
      <c r="L81">
        <v>5108293.5</v>
      </c>
      <c r="M81">
        <v>8546141</v>
      </c>
      <c r="N81">
        <v>13434601</v>
      </c>
      <c r="O81">
        <v>5376395</v>
      </c>
      <c r="P81">
        <v>10100691</v>
      </c>
      <c r="Q81">
        <v>17262084</v>
      </c>
      <c r="R81" s="2" t="s">
        <v>136</v>
      </c>
      <c r="S81" s="4" t="s">
        <v>421</v>
      </c>
      <c r="T81">
        <f t="shared" si="51"/>
        <v>6.3998635756718718</v>
      </c>
      <c r="U81">
        <f t="shared" si="52"/>
        <v>6.6495327778852698</v>
      </c>
      <c r="V81">
        <f t="shared" si="53"/>
        <v>6.2324491836888161</v>
      </c>
      <c r="W81">
        <f t="shared" si="54"/>
        <v>6.0337044984382757</v>
      </c>
      <c r="X81">
        <f t="shared" si="55"/>
        <v>6.6055768531210362</v>
      </c>
      <c r="Y81">
        <f t="shared" si="56"/>
        <v>6.4073825754555944</v>
      </c>
      <c r="Z81">
        <f t="shared" si="57"/>
        <v>6.1713072010455718</v>
      </c>
      <c r="AA81">
        <f t="shared" si="58"/>
        <v>6.3409412857306391</v>
      </c>
      <c r="AB81">
        <f t="shared" si="59"/>
        <v>7.0459826052099723</v>
      </c>
      <c r="AC81">
        <f t="shared" si="60"/>
        <v>6.7149715464789059</v>
      </c>
      <c r="AD81">
        <f t="shared" si="61"/>
        <v>6.7082758419524913</v>
      </c>
      <c r="AE81">
        <f t="shared" si="62"/>
        <v>6.9317700538236533</v>
      </c>
      <c r="AF81">
        <f t="shared" si="63"/>
        <v>7.1282247726618957</v>
      </c>
      <c r="AG81">
        <f t="shared" si="64"/>
        <v>6.7304911685313531</v>
      </c>
      <c r="AH81">
        <f t="shared" si="65"/>
        <v>7.0043510853887563</v>
      </c>
      <c r="AI81">
        <f t="shared" si="66"/>
        <v>7.2370932256239708</v>
      </c>
      <c r="AJ81" t="str">
        <f t="shared" si="67"/>
        <v>C00794</v>
      </c>
      <c r="AL81">
        <f t="shared" si="68"/>
        <v>6.6463698906692539</v>
      </c>
      <c r="AM81">
        <f t="shared" si="69"/>
        <v>0.36067178263937061</v>
      </c>
      <c r="AN81">
        <f t="shared" si="70"/>
        <v>-0.68346437637418234</v>
      </c>
      <c r="AO81">
        <f t="shared" si="71"/>
        <v>8.7694335078560628E-3</v>
      </c>
      <c r="AP81">
        <f t="shared" si="72"/>
        <v>-1.1476381766031025</v>
      </c>
      <c r="AQ81">
        <f t="shared" si="73"/>
        <v>-1.6986784709009841</v>
      </c>
      <c r="AR81">
        <f t="shared" si="74"/>
        <v>-0.1131029359982008</v>
      </c>
      <c r="AS81">
        <f t="shared" si="75"/>
        <v>-0.66261716806556692</v>
      </c>
      <c r="AT81">
        <f t="shared" si="76"/>
        <v>-1.3171606776310774</v>
      </c>
      <c r="AU81">
        <f t="shared" si="77"/>
        <v>-0.84683254870539038</v>
      </c>
      <c r="AV81">
        <f t="shared" si="78"/>
        <v>1.1079677806131127</v>
      </c>
      <c r="AW81">
        <f t="shared" si="79"/>
        <v>0.19020522012459634</v>
      </c>
      <c r="AX81">
        <f t="shared" si="80"/>
        <v>0.17164068347740991</v>
      </c>
      <c r="AY81">
        <f t="shared" si="81"/>
        <v>0.79130161241298447</v>
      </c>
      <c r="AZ81">
        <f t="shared" si="82"/>
        <v>1.3359927368491704</v>
      </c>
      <c r="BA81">
        <f t="shared" si="83"/>
        <v>0.23323498513386784</v>
      </c>
      <c r="BB81">
        <f t="shared" si="84"/>
        <v>0.99254006537417849</v>
      </c>
      <c r="BC81">
        <f t="shared" si="85"/>
        <v>1.6378418367853602</v>
      </c>
      <c r="BD81" t="str">
        <f t="shared" si="86"/>
        <v>C00794</v>
      </c>
    </row>
    <row r="82" spans="1:56" x14ac:dyDescent="0.2">
      <c r="A82" t="s">
        <v>137</v>
      </c>
      <c r="B82">
        <v>527018944</v>
      </c>
      <c r="C82">
        <v>307051840</v>
      </c>
      <c r="D82">
        <v>679896768</v>
      </c>
      <c r="E82">
        <v>360806528</v>
      </c>
      <c r="F82">
        <v>383024064</v>
      </c>
      <c r="G82">
        <v>285733248</v>
      </c>
      <c r="H82">
        <v>338409152</v>
      </c>
      <c r="I82">
        <v>375042336</v>
      </c>
      <c r="J82">
        <v>166727968</v>
      </c>
      <c r="K82">
        <v>108298048</v>
      </c>
      <c r="L82">
        <v>110880712</v>
      </c>
      <c r="M82">
        <v>147298976</v>
      </c>
      <c r="N82">
        <v>131329440</v>
      </c>
      <c r="O82">
        <v>176161056</v>
      </c>
      <c r="P82">
        <v>151772432</v>
      </c>
      <c r="Q82">
        <v>117551200</v>
      </c>
      <c r="R82" s="2" t="s">
        <v>138</v>
      </c>
      <c r="S82" s="4" t="s">
        <v>421</v>
      </c>
      <c r="T82">
        <f t="shared" si="51"/>
        <v>8.7218262264588393</v>
      </c>
      <c r="U82">
        <f t="shared" si="52"/>
        <v>8.4872117042241388</v>
      </c>
      <c r="V82">
        <f t="shared" si="53"/>
        <v>8.8324429766894781</v>
      </c>
      <c r="W82">
        <f t="shared" si="54"/>
        <v>8.557274386543769</v>
      </c>
      <c r="X82">
        <f t="shared" si="55"/>
        <v>8.5832260599584682</v>
      </c>
      <c r="Y82">
        <f t="shared" si="56"/>
        <v>8.4559607779494712</v>
      </c>
      <c r="Z82">
        <f t="shared" si="57"/>
        <v>8.5294420996664897</v>
      </c>
      <c r="AA82">
        <f t="shared" si="58"/>
        <v>8.5740802950701038</v>
      </c>
      <c r="AB82">
        <f t="shared" si="59"/>
        <v>8.2220084572320875</v>
      </c>
      <c r="AC82">
        <f t="shared" si="60"/>
        <v>8.0346206288278257</v>
      </c>
      <c r="AD82">
        <f t="shared" si="61"/>
        <v>8.0448560060184384</v>
      </c>
      <c r="AE82">
        <f t="shared" si="62"/>
        <v>8.1681997277041702</v>
      </c>
      <c r="AF82">
        <f t="shared" si="63"/>
        <v>8.1183620923984563</v>
      </c>
      <c r="AG82">
        <f t="shared" si="64"/>
        <v>8.2459099050200368</v>
      </c>
      <c r="AH82">
        <f t="shared" si="65"/>
        <v>8.1811928933146145</v>
      </c>
      <c r="AI82">
        <f t="shared" si="66"/>
        <v>8.0702270668996494</v>
      </c>
      <c r="AJ82" t="str">
        <f t="shared" si="67"/>
        <v>C00123</v>
      </c>
      <c r="AL82">
        <f t="shared" si="68"/>
        <v>8.3641775814985042</v>
      </c>
      <c r="AM82">
        <f t="shared" si="69"/>
        <v>0.2570191870998797</v>
      </c>
      <c r="AN82">
        <f t="shared" si="70"/>
        <v>1.3915250802709527</v>
      </c>
      <c r="AO82">
        <f t="shared" si="71"/>
        <v>0.47869625654765841</v>
      </c>
      <c r="AP82">
        <f t="shared" si="72"/>
        <v>1.8219083192765768</v>
      </c>
      <c r="AQ82">
        <f t="shared" si="73"/>
        <v>0.75129334593306407</v>
      </c>
      <c r="AR82">
        <f t="shared" si="74"/>
        <v>0.85226508157478542</v>
      </c>
      <c r="AS82">
        <f t="shared" si="75"/>
        <v>0.35710639927944104</v>
      </c>
      <c r="AT82">
        <f t="shared" si="76"/>
        <v>0.64300459445372993</v>
      </c>
      <c r="AU82">
        <f t="shared" si="77"/>
        <v>0.8166811043956409</v>
      </c>
      <c r="AV82">
        <f t="shared" si="78"/>
        <v>-0.55314595719722925</v>
      </c>
      <c r="AW82">
        <f t="shared" si="79"/>
        <v>-1.2822270445615023</v>
      </c>
      <c r="AX82">
        <f t="shared" si="80"/>
        <v>-1.242403647304257</v>
      </c>
      <c r="AY82">
        <f t="shared" si="81"/>
        <v>-0.76250281547336551</v>
      </c>
      <c r="AZ82">
        <f t="shared" si="82"/>
        <v>-0.95640909876709734</v>
      </c>
      <c r="BA82">
        <f t="shared" si="83"/>
        <v>-0.4601511576351987</v>
      </c>
      <c r="BB82">
        <f t="shared" si="84"/>
        <v>-0.71194952504763931</v>
      </c>
      <c r="BC82">
        <f t="shared" si="85"/>
        <v>-1.1436909357456775</v>
      </c>
      <c r="BD82" t="str">
        <f t="shared" si="86"/>
        <v>C00123</v>
      </c>
    </row>
    <row r="83" spans="1:56" x14ac:dyDescent="0.2">
      <c r="A83" t="s">
        <v>139</v>
      </c>
      <c r="B83">
        <v>527018944</v>
      </c>
      <c r="C83">
        <v>307051840</v>
      </c>
      <c r="D83">
        <v>679896768</v>
      </c>
      <c r="E83">
        <v>360806528</v>
      </c>
      <c r="F83">
        <v>383024064</v>
      </c>
      <c r="G83">
        <v>285733248</v>
      </c>
      <c r="H83">
        <v>338409152</v>
      </c>
      <c r="I83">
        <v>375042336</v>
      </c>
      <c r="J83">
        <v>166727968</v>
      </c>
      <c r="K83">
        <v>108298048</v>
      </c>
      <c r="L83">
        <v>110880712</v>
      </c>
      <c r="M83">
        <v>147298976</v>
      </c>
      <c r="N83">
        <v>131329440</v>
      </c>
      <c r="O83">
        <v>176161056</v>
      </c>
      <c r="P83">
        <v>151772432</v>
      </c>
      <c r="Q83">
        <v>117551200</v>
      </c>
      <c r="R83" s="2" t="s">
        <v>140</v>
      </c>
      <c r="S83" s="4" t="s">
        <v>421</v>
      </c>
      <c r="T83">
        <f t="shared" si="51"/>
        <v>8.7218262264588393</v>
      </c>
      <c r="U83">
        <f t="shared" si="52"/>
        <v>8.4872117042241388</v>
      </c>
      <c r="V83">
        <f t="shared" si="53"/>
        <v>8.8324429766894781</v>
      </c>
      <c r="W83">
        <f t="shared" si="54"/>
        <v>8.557274386543769</v>
      </c>
      <c r="X83">
        <f t="shared" si="55"/>
        <v>8.5832260599584682</v>
      </c>
      <c r="Y83">
        <f t="shared" si="56"/>
        <v>8.4559607779494712</v>
      </c>
      <c r="Z83">
        <f t="shared" si="57"/>
        <v>8.5294420996664897</v>
      </c>
      <c r="AA83">
        <f t="shared" si="58"/>
        <v>8.5740802950701038</v>
      </c>
      <c r="AB83">
        <f t="shared" si="59"/>
        <v>8.2220084572320875</v>
      </c>
      <c r="AC83">
        <f t="shared" si="60"/>
        <v>8.0346206288278257</v>
      </c>
      <c r="AD83">
        <f t="shared" si="61"/>
        <v>8.0448560060184384</v>
      </c>
      <c r="AE83">
        <f t="shared" si="62"/>
        <v>8.1681997277041702</v>
      </c>
      <c r="AF83">
        <f t="shared" si="63"/>
        <v>8.1183620923984563</v>
      </c>
      <c r="AG83">
        <f t="shared" si="64"/>
        <v>8.2459099050200368</v>
      </c>
      <c r="AH83">
        <f t="shared" si="65"/>
        <v>8.1811928933146145</v>
      </c>
      <c r="AI83">
        <f t="shared" si="66"/>
        <v>8.0702270668996494</v>
      </c>
      <c r="AJ83" t="str">
        <f t="shared" si="67"/>
        <v>C01933</v>
      </c>
      <c r="AL83">
        <f t="shared" si="68"/>
        <v>8.3641775814985042</v>
      </c>
      <c r="AM83">
        <f t="shared" si="69"/>
        <v>0.2570191870998797</v>
      </c>
      <c r="AN83">
        <f t="shared" si="70"/>
        <v>1.3915250802709527</v>
      </c>
      <c r="AO83">
        <f t="shared" si="71"/>
        <v>0.47869625654765841</v>
      </c>
      <c r="AP83">
        <f t="shared" si="72"/>
        <v>1.8219083192765768</v>
      </c>
      <c r="AQ83">
        <f t="shared" si="73"/>
        <v>0.75129334593306407</v>
      </c>
      <c r="AR83">
        <f t="shared" si="74"/>
        <v>0.85226508157478542</v>
      </c>
      <c r="AS83">
        <f t="shared" si="75"/>
        <v>0.35710639927944104</v>
      </c>
      <c r="AT83">
        <f t="shared" si="76"/>
        <v>0.64300459445372993</v>
      </c>
      <c r="AU83">
        <f t="shared" si="77"/>
        <v>0.8166811043956409</v>
      </c>
      <c r="AV83">
        <f t="shared" si="78"/>
        <v>-0.55314595719722925</v>
      </c>
      <c r="AW83">
        <f t="shared" si="79"/>
        <v>-1.2822270445615023</v>
      </c>
      <c r="AX83">
        <f t="shared" si="80"/>
        <v>-1.242403647304257</v>
      </c>
      <c r="AY83">
        <f t="shared" si="81"/>
        <v>-0.76250281547336551</v>
      </c>
      <c r="AZ83">
        <f t="shared" si="82"/>
        <v>-0.95640909876709734</v>
      </c>
      <c r="BA83">
        <f t="shared" si="83"/>
        <v>-0.4601511576351987</v>
      </c>
      <c r="BB83">
        <f t="shared" si="84"/>
        <v>-0.71194952504763931</v>
      </c>
      <c r="BC83">
        <f t="shared" si="85"/>
        <v>-1.1436909357456775</v>
      </c>
      <c r="BD83" t="str">
        <f t="shared" si="86"/>
        <v>C01933</v>
      </c>
    </row>
    <row r="84" spans="1:56" x14ac:dyDescent="0.2">
      <c r="A84" t="s">
        <v>141</v>
      </c>
      <c r="B84">
        <v>23295406</v>
      </c>
      <c r="C84">
        <v>21622014</v>
      </c>
      <c r="D84">
        <v>29431866</v>
      </c>
      <c r="E84">
        <v>18028440</v>
      </c>
      <c r="F84">
        <v>26630326</v>
      </c>
      <c r="G84">
        <v>29571946</v>
      </c>
      <c r="H84">
        <v>25950142</v>
      </c>
      <c r="I84">
        <v>44681876</v>
      </c>
      <c r="J84">
        <v>38613260</v>
      </c>
      <c r="K84">
        <v>36528540</v>
      </c>
      <c r="L84">
        <v>43769308</v>
      </c>
      <c r="M84">
        <v>41733992</v>
      </c>
      <c r="N84">
        <v>62674600</v>
      </c>
      <c r="O84">
        <v>45424712</v>
      </c>
      <c r="P84">
        <v>88362792</v>
      </c>
      <c r="Q84">
        <v>68942976</v>
      </c>
      <c r="R84" s="2" t="s">
        <v>142</v>
      </c>
      <c r="S84" s="4" t="s">
        <v>421</v>
      </c>
      <c r="T84">
        <f t="shared" si="51"/>
        <v>7.3672702838773123</v>
      </c>
      <c r="U84">
        <f t="shared" si="52"/>
        <v>7.3348961442125464</v>
      </c>
      <c r="V84">
        <f t="shared" si="53"/>
        <v>7.4688177975332826</v>
      </c>
      <c r="W84">
        <f t="shared" si="54"/>
        <v>7.2559581488686629</v>
      </c>
      <c r="X84">
        <f t="shared" si="55"/>
        <v>7.425376482966711</v>
      </c>
      <c r="Y84">
        <f t="shared" si="56"/>
        <v>7.4708799044805918</v>
      </c>
      <c r="Z84">
        <f t="shared" si="57"/>
        <v>7.414139738664157</v>
      </c>
      <c r="AA84">
        <f t="shared" si="58"/>
        <v>7.6501313989857413</v>
      </c>
      <c r="AB84">
        <f t="shared" si="59"/>
        <v>7.5867364693330233</v>
      </c>
      <c r="AC84">
        <f t="shared" si="60"/>
        <v>7.5626323143522152</v>
      </c>
      <c r="AD84">
        <f t="shared" si="61"/>
        <v>7.6411696803997904</v>
      </c>
      <c r="AE84">
        <f t="shared" si="62"/>
        <v>7.6204899284608523</v>
      </c>
      <c r="AF84">
        <f t="shared" si="63"/>
        <v>7.7970915708975523</v>
      </c>
      <c r="AG84">
        <f t="shared" si="64"/>
        <v>7.6572921824917444</v>
      </c>
      <c r="AH84">
        <f t="shared" si="65"/>
        <v>7.9462694298231726</v>
      </c>
      <c r="AI84">
        <f t="shared" si="66"/>
        <v>7.8384900262793922</v>
      </c>
      <c r="AJ84" t="str">
        <f t="shared" si="67"/>
        <v>C00392</v>
      </c>
      <c r="AL84">
        <f t="shared" si="68"/>
        <v>7.5648525938516711</v>
      </c>
      <c r="AM84">
        <f t="shared" si="69"/>
        <v>0.19097441380351815</v>
      </c>
      <c r="AN84">
        <f t="shared" si="70"/>
        <v>-1.0346009501442381</v>
      </c>
      <c r="AO84">
        <f t="shared" si="71"/>
        <v>-1.2041217724365565</v>
      </c>
      <c r="AP84">
        <f t="shared" si="72"/>
        <v>-0.50286734440349068</v>
      </c>
      <c r="AQ84">
        <f t="shared" si="73"/>
        <v>-1.617465077289415</v>
      </c>
      <c r="AR84">
        <f t="shared" si="74"/>
        <v>-0.730339253867057</v>
      </c>
      <c r="AS84">
        <f t="shared" si="75"/>
        <v>-0.49206952648516572</v>
      </c>
      <c r="AT84">
        <f t="shared" si="76"/>
        <v>-0.78917825789256402</v>
      </c>
      <c r="AU84">
        <f t="shared" si="77"/>
        <v>0.44654570963526241</v>
      </c>
      <c r="AV84">
        <f t="shared" si="78"/>
        <v>0.11459061476092369</v>
      </c>
      <c r="AW84">
        <f t="shared" si="79"/>
        <v>-1.1626057413849282E-2</v>
      </c>
      <c r="AX84">
        <f t="shared" si="80"/>
        <v>0.39961943083452672</v>
      </c>
      <c r="AY84">
        <f t="shared" si="81"/>
        <v>0.29133397244734066</v>
      </c>
      <c r="AZ84">
        <f t="shared" si="82"/>
        <v>1.216073778788072</v>
      </c>
      <c r="BA84">
        <f t="shared" si="83"/>
        <v>0.48404174569258634</v>
      </c>
      <c r="BB84">
        <f t="shared" si="84"/>
        <v>1.9972143303129493</v>
      </c>
      <c r="BC84">
        <f t="shared" si="85"/>
        <v>1.4328486574607311</v>
      </c>
      <c r="BD84" t="str">
        <f t="shared" si="86"/>
        <v>C00392</v>
      </c>
    </row>
    <row r="85" spans="1:56" x14ac:dyDescent="0.2">
      <c r="A85" t="s">
        <v>143</v>
      </c>
      <c r="B85">
        <v>340940288</v>
      </c>
      <c r="C85">
        <v>193767104</v>
      </c>
      <c r="D85">
        <v>447976256</v>
      </c>
      <c r="E85">
        <v>222554992</v>
      </c>
      <c r="F85">
        <v>217833040</v>
      </c>
      <c r="G85">
        <v>171264032</v>
      </c>
      <c r="H85">
        <v>201920272</v>
      </c>
      <c r="I85">
        <v>222904544</v>
      </c>
      <c r="J85">
        <v>89158064</v>
      </c>
      <c r="K85">
        <v>60549028</v>
      </c>
      <c r="L85">
        <v>59367972</v>
      </c>
      <c r="M85">
        <v>79476136</v>
      </c>
      <c r="N85">
        <v>83461960</v>
      </c>
      <c r="O85">
        <v>110550232</v>
      </c>
      <c r="P85">
        <v>95805560</v>
      </c>
      <c r="Q85">
        <v>77701048</v>
      </c>
      <c r="R85" s="2" t="s">
        <v>144</v>
      </c>
      <c r="S85" s="4" t="s">
        <v>421</v>
      </c>
      <c r="T85">
        <f t="shared" si="51"/>
        <v>8.5326783236761425</v>
      </c>
      <c r="U85">
        <f t="shared" si="52"/>
        <v>8.287280048442673</v>
      </c>
      <c r="V85">
        <f t="shared" si="53"/>
        <v>8.6512549957806151</v>
      </c>
      <c r="W85">
        <f t="shared" si="54"/>
        <v>8.3474373401316342</v>
      </c>
      <c r="X85">
        <f t="shared" si="55"/>
        <v>8.3381237523776175</v>
      </c>
      <c r="Y85">
        <f t="shared" si="56"/>
        <v>8.2336661642258679</v>
      </c>
      <c r="Z85">
        <f t="shared" si="57"/>
        <v>8.305179922587909</v>
      </c>
      <c r="AA85">
        <f t="shared" si="58"/>
        <v>8.3481189218405376</v>
      </c>
      <c r="AB85">
        <f t="shared" si="59"/>
        <v>7.9501606295340244</v>
      </c>
      <c r="AC85">
        <f t="shared" si="60"/>
        <v>7.7821071757594229</v>
      </c>
      <c r="AD85">
        <f t="shared" si="61"/>
        <v>7.7735522137525326</v>
      </c>
      <c r="AE85">
        <f t="shared" si="62"/>
        <v>7.9002367442622496</v>
      </c>
      <c r="AF85">
        <f t="shared" si="63"/>
        <v>7.9214885793595098</v>
      </c>
      <c r="AG85">
        <f t="shared" si="64"/>
        <v>8.0435596583232734</v>
      </c>
      <c r="AH85">
        <f t="shared" si="65"/>
        <v>7.9813907137471363</v>
      </c>
      <c r="AI85">
        <f t="shared" si="66"/>
        <v>7.8904268764270098</v>
      </c>
      <c r="AJ85" t="str">
        <f t="shared" si="67"/>
        <v>C00407</v>
      </c>
      <c r="AL85">
        <f t="shared" si="68"/>
        <v>8.1429163787642587</v>
      </c>
      <c r="AM85">
        <f t="shared" si="69"/>
        <v>0.27069984218117188</v>
      </c>
      <c r="AN85">
        <f t="shared" si="70"/>
        <v>1.4398307061111142</v>
      </c>
      <c r="AO85">
        <f t="shared" si="71"/>
        <v>0.53329794548530141</v>
      </c>
      <c r="AP85">
        <f t="shared" si="72"/>
        <v>1.8778681691145558</v>
      </c>
      <c r="AQ85">
        <f t="shared" si="73"/>
        <v>0.75552671076363365</v>
      </c>
      <c r="AR85">
        <f t="shared" si="74"/>
        <v>0.72112112087125624</v>
      </c>
      <c r="AS85">
        <f t="shared" si="75"/>
        <v>0.33524136818991185</v>
      </c>
      <c r="AT85">
        <f t="shared" si="76"/>
        <v>0.59942238058288888</v>
      </c>
      <c r="AU85">
        <f t="shared" si="77"/>
        <v>0.75804456117467034</v>
      </c>
      <c r="AV85">
        <f t="shared" si="78"/>
        <v>-0.71206450538389399</v>
      </c>
      <c r="AW85">
        <f t="shared" si="79"/>
        <v>-1.3328755572873818</v>
      </c>
      <c r="AX85">
        <f t="shared" si="80"/>
        <v>-1.3644786861919223</v>
      </c>
      <c r="AY85">
        <f t="shared" si="81"/>
        <v>-0.89648975243801687</v>
      </c>
      <c r="AZ85">
        <f t="shared" si="82"/>
        <v>-0.81798274288077866</v>
      </c>
      <c r="BA85">
        <f t="shared" si="83"/>
        <v>-0.36703649193296767</v>
      </c>
      <c r="BB85">
        <f t="shared" si="84"/>
        <v>-0.59669656145945504</v>
      </c>
      <c r="BC85">
        <f t="shared" si="85"/>
        <v>-0.93272866471885374</v>
      </c>
      <c r="BD85" t="str">
        <f t="shared" si="86"/>
        <v>C00407</v>
      </c>
    </row>
    <row r="86" spans="1:56" x14ac:dyDescent="0.2">
      <c r="A86" t="s">
        <v>145</v>
      </c>
      <c r="B86">
        <v>1552688</v>
      </c>
      <c r="C86">
        <v>1118058.75</v>
      </c>
      <c r="D86">
        <v>1626462</v>
      </c>
      <c r="E86">
        <v>1018470.75</v>
      </c>
      <c r="F86">
        <v>1377997.125</v>
      </c>
      <c r="G86">
        <v>1076092.875</v>
      </c>
      <c r="H86">
        <v>1097119.5</v>
      </c>
      <c r="I86">
        <v>1427599.375</v>
      </c>
      <c r="J86">
        <v>1724643.125</v>
      </c>
      <c r="K86">
        <v>1325949.875</v>
      </c>
      <c r="L86">
        <v>1562552.125</v>
      </c>
      <c r="M86">
        <v>2010189.125</v>
      </c>
      <c r="N86">
        <v>2765262</v>
      </c>
      <c r="O86">
        <v>2172914</v>
      </c>
      <c r="P86">
        <v>3039321.75</v>
      </c>
      <c r="Q86">
        <v>2875147.75</v>
      </c>
      <c r="R86" s="2" t="s">
        <v>146</v>
      </c>
      <c r="S86" s="4" t="s">
        <v>421</v>
      </c>
      <c r="T86">
        <f t="shared" si="51"/>
        <v>6.1910841965584105</v>
      </c>
      <c r="U86">
        <f t="shared" si="52"/>
        <v>6.0484646247762042</v>
      </c>
      <c r="V86">
        <f t="shared" si="53"/>
        <v>6.2112439210558694</v>
      </c>
      <c r="W86">
        <f t="shared" si="54"/>
        <v>6.0079485607824195</v>
      </c>
      <c r="X86">
        <f t="shared" si="55"/>
        <v>6.1392483114773126</v>
      </c>
      <c r="Y86">
        <f t="shared" si="56"/>
        <v>6.0318497558650765</v>
      </c>
      <c r="Z86">
        <f t="shared" si="57"/>
        <v>6.0402539341964685</v>
      </c>
      <c r="AA86">
        <f t="shared" si="58"/>
        <v>6.1546063491504546</v>
      </c>
      <c r="AB86">
        <f t="shared" si="59"/>
        <v>6.2366992415091183</v>
      </c>
      <c r="AC86">
        <f t="shared" si="60"/>
        <v>6.1225271067064861</v>
      </c>
      <c r="AD86">
        <f t="shared" si="61"/>
        <v>6.1938345138383735</v>
      </c>
      <c r="AE86">
        <f t="shared" si="62"/>
        <v>6.3032369191518134</v>
      </c>
      <c r="AF86">
        <f t="shared" si="63"/>
        <v>6.4417362856456695</v>
      </c>
      <c r="AG86">
        <f t="shared" si="64"/>
        <v>6.3370425380717705</v>
      </c>
      <c r="AH86">
        <f t="shared" si="65"/>
        <v>6.4827766779848419</v>
      </c>
      <c r="AI86">
        <f t="shared" si="66"/>
        <v>6.4586601674120647</v>
      </c>
      <c r="AJ86" t="str">
        <f t="shared" si="67"/>
        <v>C01697</v>
      </c>
      <c r="AL86">
        <f t="shared" si="68"/>
        <v>6.2125758190113975</v>
      </c>
      <c r="AM86">
        <f t="shared" si="69"/>
        <v>0.15474634371417592</v>
      </c>
      <c r="AN86">
        <f t="shared" si="70"/>
        <v>-0.13888290952245799</v>
      </c>
      <c r="AO86">
        <f t="shared" si="71"/>
        <v>-1.0605174267530018</v>
      </c>
      <c r="AP86">
        <f t="shared" si="72"/>
        <v>-8.6069752832946302E-3</v>
      </c>
      <c r="AQ86">
        <f t="shared" si="73"/>
        <v>-1.3223398583615951</v>
      </c>
      <c r="AR86">
        <f t="shared" si="74"/>
        <v>-0.47385615565511779</v>
      </c>
      <c r="AS86">
        <f t="shared" si="75"/>
        <v>-1.1678858369676952</v>
      </c>
      <c r="AT86">
        <f t="shared" si="76"/>
        <v>-1.1135764547252633</v>
      </c>
      <c r="AU86">
        <f t="shared" si="77"/>
        <v>-0.37460962546562931</v>
      </c>
      <c r="AV86">
        <f t="shared" si="78"/>
        <v>0.15589009677849219</v>
      </c>
      <c r="AW86">
        <f t="shared" si="79"/>
        <v>-0.58191172821010739</v>
      </c>
      <c r="AX86">
        <f t="shared" si="80"/>
        <v>-0.12110984158462697</v>
      </c>
      <c r="AY86">
        <f t="shared" si="81"/>
        <v>0.5858690936690002</v>
      </c>
      <c r="AZ86">
        <f t="shared" si="82"/>
        <v>1.4808780688062171</v>
      </c>
      <c r="BA86">
        <f t="shared" si="83"/>
        <v>0.80432736614616962</v>
      </c>
      <c r="BB86">
        <f t="shared" si="84"/>
        <v>1.7460888088736919</v>
      </c>
      <c r="BC86">
        <f t="shared" si="85"/>
        <v>1.5902433782551724</v>
      </c>
      <c r="BD86" t="str">
        <f t="shared" si="86"/>
        <v>C01697</v>
      </c>
    </row>
    <row r="87" spans="1:56" x14ac:dyDescent="0.2">
      <c r="A87" t="s">
        <v>147</v>
      </c>
      <c r="J87">
        <v>17837.162110000001</v>
      </c>
      <c r="R87" s="2" t="s">
        <v>148</v>
      </c>
      <c r="S87" s="4" t="s">
        <v>421</v>
      </c>
      <c r="T87" t="e">
        <f t="shared" si="51"/>
        <v>#NUM!</v>
      </c>
      <c r="U87" t="e">
        <f t="shared" si="52"/>
        <v>#NUM!</v>
      </c>
      <c r="V87" t="e">
        <f t="shared" si="53"/>
        <v>#NUM!</v>
      </c>
      <c r="W87" t="e">
        <f t="shared" si="54"/>
        <v>#NUM!</v>
      </c>
      <c r="X87" t="e">
        <f t="shared" si="55"/>
        <v>#NUM!</v>
      </c>
      <c r="Y87" t="e">
        <f t="shared" si="56"/>
        <v>#NUM!</v>
      </c>
      <c r="Z87" t="e">
        <f t="shared" si="57"/>
        <v>#NUM!</v>
      </c>
      <c r="AA87" t="e">
        <f t="shared" si="58"/>
        <v>#NUM!</v>
      </c>
      <c r="AB87">
        <f t="shared" si="59"/>
        <v>4.2513257593447147</v>
      </c>
      <c r="AC87" t="e">
        <f t="shared" si="60"/>
        <v>#NUM!</v>
      </c>
      <c r="AD87" t="e">
        <f t="shared" si="61"/>
        <v>#NUM!</v>
      </c>
      <c r="AE87" t="e">
        <f t="shared" si="62"/>
        <v>#NUM!</v>
      </c>
      <c r="AF87" t="e">
        <f t="shared" si="63"/>
        <v>#NUM!</v>
      </c>
      <c r="AG87" t="e">
        <f t="shared" si="64"/>
        <v>#NUM!</v>
      </c>
      <c r="AH87" t="e">
        <f t="shared" si="65"/>
        <v>#NUM!</v>
      </c>
      <c r="AI87" t="e">
        <f t="shared" si="66"/>
        <v>#NUM!</v>
      </c>
      <c r="AJ87" t="str">
        <f t="shared" si="67"/>
        <v>C01921</v>
      </c>
      <c r="AL87" t="e">
        <f t="shared" si="68"/>
        <v>#NUM!</v>
      </c>
      <c r="AM87" t="e">
        <f t="shared" si="69"/>
        <v>#NUM!</v>
      </c>
      <c r="AN87" t="e">
        <f t="shared" si="70"/>
        <v>#NUM!</v>
      </c>
      <c r="AO87" t="e">
        <f t="shared" si="71"/>
        <v>#NUM!</v>
      </c>
      <c r="AP87" t="e">
        <f t="shared" si="72"/>
        <v>#NUM!</v>
      </c>
      <c r="AQ87" t="e">
        <f t="shared" si="73"/>
        <v>#NUM!</v>
      </c>
      <c r="AR87" t="e">
        <f t="shared" si="74"/>
        <v>#NUM!</v>
      </c>
      <c r="AS87" t="e">
        <f t="shared" si="75"/>
        <v>#NUM!</v>
      </c>
      <c r="AT87" t="e">
        <f t="shared" si="76"/>
        <v>#NUM!</v>
      </c>
      <c r="AU87" t="e">
        <f t="shared" si="77"/>
        <v>#NUM!</v>
      </c>
      <c r="AV87" t="e">
        <f t="shared" si="78"/>
        <v>#NUM!</v>
      </c>
      <c r="AW87" t="e">
        <f t="shared" si="79"/>
        <v>#NUM!</v>
      </c>
      <c r="AX87" t="e">
        <f t="shared" si="80"/>
        <v>#NUM!</v>
      </c>
      <c r="AY87" t="e">
        <f t="shared" si="81"/>
        <v>#NUM!</v>
      </c>
      <c r="AZ87" t="e">
        <f t="shared" si="82"/>
        <v>#NUM!</v>
      </c>
      <c r="BA87" t="e">
        <f t="shared" si="83"/>
        <v>#NUM!</v>
      </c>
      <c r="BB87" t="e">
        <f t="shared" si="84"/>
        <v>#NUM!</v>
      </c>
      <c r="BC87" t="e">
        <f t="shared" si="85"/>
        <v>#NUM!</v>
      </c>
      <c r="BD87" t="str">
        <f t="shared" si="86"/>
        <v>C01921</v>
      </c>
    </row>
    <row r="88" spans="1:56" x14ac:dyDescent="0.2">
      <c r="A88" t="s">
        <v>149</v>
      </c>
      <c r="B88">
        <v>67503496</v>
      </c>
      <c r="C88">
        <v>60931276</v>
      </c>
      <c r="D88">
        <v>80742576</v>
      </c>
      <c r="E88">
        <v>45499460</v>
      </c>
      <c r="F88">
        <v>36260068</v>
      </c>
      <c r="G88">
        <v>36097788</v>
      </c>
      <c r="H88">
        <v>40425348</v>
      </c>
      <c r="I88">
        <v>42338936</v>
      </c>
      <c r="J88">
        <v>12788484</v>
      </c>
      <c r="K88">
        <v>10010937</v>
      </c>
      <c r="L88">
        <v>9178052</v>
      </c>
      <c r="M88">
        <v>13567418</v>
      </c>
      <c r="N88">
        <v>11529856</v>
      </c>
      <c r="O88">
        <v>14872310</v>
      </c>
      <c r="P88">
        <v>12637948</v>
      </c>
      <c r="Q88">
        <v>9117021</v>
      </c>
      <c r="R88" s="2" t="s">
        <v>150</v>
      </c>
      <c r="S88" s="4" t="s">
        <v>421</v>
      </c>
      <c r="T88">
        <f t="shared" si="51"/>
        <v>7.8293262654857196</v>
      </c>
      <c r="U88">
        <f t="shared" si="52"/>
        <v>7.7848402730523594</v>
      </c>
      <c r="V88">
        <f t="shared" si="53"/>
        <v>7.9071026009665308</v>
      </c>
      <c r="W88">
        <f t="shared" si="54"/>
        <v>7.6580062423623456</v>
      </c>
      <c r="X88">
        <f t="shared" si="55"/>
        <v>7.5594286142105949</v>
      </c>
      <c r="Y88">
        <f t="shared" si="56"/>
        <v>7.5574805900267936</v>
      </c>
      <c r="Z88">
        <f t="shared" si="57"/>
        <v>7.6066537672013004</v>
      </c>
      <c r="AA88">
        <f t="shared" si="58"/>
        <v>7.6267399397690099</v>
      </c>
      <c r="AB88">
        <f t="shared" si="59"/>
        <v>7.1068190644585449</v>
      </c>
      <c r="AC88">
        <f t="shared" si="60"/>
        <v>7.0004747283169735</v>
      </c>
      <c r="AD88">
        <f t="shared" si="61"/>
        <v>6.9627505139436359</v>
      </c>
      <c r="AE88">
        <f t="shared" si="62"/>
        <v>7.1324972054307922</v>
      </c>
      <c r="AF88">
        <f t="shared" si="63"/>
        <v>7.0618238832881142</v>
      </c>
      <c r="AG88">
        <f t="shared" si="64"/>
        <v>7.1723784293382264</v>
      </c>
      <c r="AH88">
        <f t="shared" si="65"/>
        <v>7.1016765640870352</v>
      </c>
      <c r="AI88">
        <f t="shared" si="66"/>
        <v>6.9598529551477037</v>
      </c>
      <c r="AJ88" t="str">
        <f t="shared" si="67"/>
        <v>C00078</v>
      </c>
      <c r="AL88">
        <f t="shared" si="68"/>
        <v>7.3767407273178547</v>
      </c>
      <c r="AM88">
        <f t="shared" si="69"/>
        <v>0.34147163537558328</v>
      </c>
      <c r="AN88">
        <f t="shared" si="70"/>
        <v>1.3253971670884697</v>
      </c>
      <c r="AO88">
        <f t="shared" si="71"/>
        <v>1.1951198971054731</v>
      </c>
      <c r="AP88">
        <f t="shared" si="72"/>
        <v>1.553165237473775</v>
      </c>
      <c r="AQ88">
        <f t="shared" si="73"/>
        <v>0.82368632093007699</v>
      </c>
      <c r="AR88">
        <f t="shared" si="74"/>
        <v>0.53500164572030262</v>
      </c>
      <c r="AS88">
        <f t="shared" si="75"/>
        <v>0.52929685509645297</v>
      </c>
      <c r="AT88">
        <f t="shared" si="76"/>
        <v>0.67330054992873789</v>
      </c>
      <c r="AU88">
        <f t="shared" si="77"/>
        <v>0.73212292486953434</v>
      </c>
      <c r="AV88">
        <f t="shared" si="78"/>
        <v>-0.7904658393146593</v>
      </c>
      <c r="AW88">
        <f t="shared" si="79"/>
        <v>-1.1018953260554942</v>
      </c>
      <c r="AX88">
        <f t="shared" si="80"/>
        <v>-1.2123707227362315</v>
      </c>
      <c r="AY88">
        <f t="shared" si="81"/>
        <v>-0.71526737972956367</v>
      </c>
      <c r="AZ88">
        <f t="shared" si="82"/>
        <v>-0.9222342689850791</v>
      </c>
      <c r="BA88">
        <f t="shared" si="83"/>
        <v>-0.5984751786333613</v>
      </c>
      <c r="BB88">
        <f t="shared" si="84"/>
        <v>-0.80552565640855511</v>
      </c>
      <c r="BC88">
        <f t="shared" si="85"/>
        <v>-1.2208562263498628</v>
      </c>
      <c r="BD88" t="str">
        <f t="shared" si="86"/>
        <v>C00078</v>
      </c>
    </row>
    <row r="89" spans="1:56" x14ac:dyDescent="0.2">
      <c r="A89" t="s">
        <v>151</v>
      </c>
      <c r="B89">
        <v>121143672</v>
      </c>
      <c r="C89">
        <v>63763184</v>
      </c>
      <c r="D89">
        <v>149506256</v>
      </c>
      <c r="E89">
        <v>82279112</v>
      </c>
      <c r="F89">
        <v>94325608</v>
      </c>
      <c r="G89">
        <v>65685276</v>
      </c>
      <c r="H89">
        <v>82884752</v>
      </c>
      <c r="I89">
        <v>83024624</v>
      </c>
      <c r="J89">
        <v>36791160</v>
      </c>
      <c r="K89">
        <v>25786070</v>
      </c>
      <c r="L89">
        <v>25239478</v>
      </c>
      <c r="M89">
        <v>33870604</v>
      </c>
      <c r="N89">
        <v>31381204</v>
      </c>
      <c r="O89">
        <v>44158500</v>
      </c>
      <c r="P89">
        <v>35891628</v>
      </c>
      <c r="Q89">
        <v>29318118</v>
      </c>
      <c r="R89" s="2" t="s">
        <v>381</v>
      </c>
      <c r="S89" s="4" t="s">
        <v>421</v>
      </c>
      <c r="T89">
        <f t="shared" si="51"/>
        <v>8.083300733477591</v>
      </c>
      <c r="U89">
        <f t="shared" si="52"/>
        <v>7.8045699953250862</v>
      </c>
      <c r="V89">
        <f t="shared" si="53"/>
        <v>8.1746593658339162</v>
      </c>
      <c r="W89">
        <f t="shared" si="54"/>
        <v>7.9152895959106173</v>
      </c>
      <c r="X89">
        <f t="shared" si="55"/>
        <v>7.9746296132389913</v>
      </c>
      <c r="Y89">
        <f t="shared" si="56"/>
        <v>7.8174680290940453</v>
      </c>
      <c r="Z89">
        <f t="shared" si="57"/>
        <v>7.9184746423555046</v>
      </c>
      <c r="AA89">
        <f t="shared" si="58"/>
        <v>7.9192069174520556</v>
      </c>
      <c r="AB89">
        <f t="shared" si="59"/>
        <v>7.5657434810536595</v>
      </c>
      <c r="AC89">
        <f t="shared" si="60"/>
        <v>7.4113851572844895</v>
      </c>
      <c r="AD89">
        <f t="shared" si="61"/>
        <v>7.4020803686361285</v>
      </c>
      <c r="AE89">
        <f t="shared" si="62"/>
        <v>7.5298229413015001</v>
      </c>
      <c r="AF89">
        <f t="shared" si="63"/>
        <v>7.4966696021102308</v>
      </c>
      <c r="AG89">
        <f t="shared" si="64"/>
        <v>7.6450143126199874</v>
      </c>
      <c r="AH89">
        <f t="shared" si="65"/>
        <v>7.5549931578423299</v>
      </c>
      <c r="AI89">
        <f t="shared" si="66"/>
        <v>7.4671360884640441</v>
      </c>
      <c r="AJ89" t="str">
        <f t="shared" si="67"/>
        <v>C00073</v>
      </c>
      <c r="AL89">
        <f t="shared" si="68"/>
        <v>7.7300277501250125</v>
      </c>
      <c r="AM89">
        <f t="shared" si="69"/>
        <v>0.25016537893303686</v>
      </c>
      <c r="AN89">
        <f t="shared" si="70"/>
        <v>1.4121577688299587</v>
      </c>
      <c r="AO89">
        <f t="shared" si="71"/>
        <v>0.29797186772205925</v>
      </c>
      <c r="AP89">
        <f t="shared" si="72"/>
        <v>1.7773507173745278</v>
      </c>
      <c r="AQ89">
        <f t="shared" si="73"/>
        <v>0.74055749271043148</v>
      </c>
      <c r="AR89">
        <f t="shared" si="74"/>
        <v>0.97776064840472077</v>
      </c>
      <c r="AS89">
        <f t="shared" si="75"/>
        <v>0.34952989635083898</v>
      </c>
      <c r="AT89">
        <f t="shared" si="76"/>
        <v>0.7532892562281156</v>
      </c>
      <c r="AU89">
        <f t="shared" si="77"/>
        <v>0.75621642024926927</v>
      </c>
      <c r="AV89">
        <f t="shared" si="78"/>
        <v>-0.65670265714636689</v>
      </c>
      <c r="AW89">
        <f t="shared" si="79"/>
        <v>-1.2737277803968861</v>
      </c>
      <c r="AX89">
        <f t="shared" si="80"/>
        <v>-1.3109223302104784</v>
      </c>
      <c r="AY89">
        <f t="shared" si="81"/>
        <v>-0.80028983098057849</v>
      </c>
      <c r="AZ89">
        <f t="shared" si="82"/>
        <v>-0.93281551991751011</v>
      </c>
      <c r="BA89">
        <f t="shared" si="83"/>
        <v>-0.33982894782487516</v>
      </c>
      <c r="BB89">
        <f t="shared" si="84"/>
        <v>-0.69967552276502276</v>
      </c>
      <c r="BC89">
        <f t="shared" si="85"/>
        <v>-1.050871478628296</v>
      </c>
      <c r="BD89" t="str">
        <f t="shared" si="86"/>
        <v>C00073</v>
      </c>
    </row>
    <row r="90" spans="1:56" x14ac:dyDescent="0.2">
      <c r="A90" t="s">
        <v>152</v>
      </c>
      <c r="B90">
        <v>22225.785159999999</v>
      </c>
      <c r="C90">
        <v>13972.50488</v>
      </c>
      <c r="D90">
        <v>26620.166020000001</v>
      </c>
      <c r="E90">
        <v>23460.988280000001</v>
      </c>
      <c r="F90">
        <v>22718.742190000001</v>
      </c>
      <c r="G90">
        <v>26198.775389999999</v>
      </c>
      <c r="H90">
        <v>15628.418949999999</v>
      </c>
      <c r="I90">
        <v>20685.119139999999</v>
      </c>
      <c r="J90">
        <v>50809.441409999999</v>
      </c>
      <c r="K90">
        <v>27745.355469999999</v>
      </c>
      <c r="L90">
        <v>18177.845700000002</v>
      </c>
      <c r="M90">
        <v>32656.91992</v>
      </c>
      <c r="N90">
        <v>15270.66992</v>
      </c>
      <c r="O90">
        <v>15976.420899999999</v>
      </c>
      <c r="P90">
        <v>12239.740229999999</v>
      </c>
      <c r="Q90">
        <v>15724.134770000001</v>
      </c>
      <c r="R90" s="2" t="s">
        <v>382</v>
      </c>
      <c r="S90" s="4" t="s">
        <v>421</v>
      </c>
      <c r="T90">
        <f t="shared" si="51"/>
        <v>4.3468571120329074</v>
      </c>
      <c r="U90">
        <f t="shared" si="52"/>
        <v>4.1452742699685086</v>
      </c>
      <c r="V90">
        <f t="shared" si="53"/>
        <v>4.4252107596790413</v>
      </c>
      <c r="W90">
        <f t="shared" si="54"/>
        <v>4.3703463025583025</v>
      </c>
      <c r="X90">
        <f t="shared" si="55"/>
        <v>4.3563842832421642</v>
      </c>
      <c r="Y90">
        <f t="shared" si="56"/>
        <v>4.4182809915565686</v>
      </c>
      <c r="Z90">
        <f t="shared" si="57"/>
        <v>4.1939150448124369</v>
      </c>
      <c r="AA90">
        <f t="shared" si="58"/>
        <v>4.3156580266429678</v>
      </c>
      <c r="AB90">
        <f t="shared" si="59"/>
        <v>4.7059444203799243</v>
      </c>
      <c r="AC90">
        <f t="shared" si="60"/>
        <v>4.4431902933120346</v>
      </c>
      <c r="AD90">
        <f t="shared" si="61"/>
        <v>4.2595424126571091</v>
      </c>
      <c r="AE90">
        <f t="shared" si="62"/>
        <v>4.51397522128162</v>
      </c>
      <c r="AF90">
        <f t="shared" si="63"/>
        <v>4.1838580898512765</v>
      </c>
      <c r="AG90">
        <f t="shared" si="64"/>
        <v>4.2034794935338748</v>
      </c>
      <c r="AH90">
        <f t="shared" si="65"/>
        <v>4.0877722006629131</v>
      </c>
      <c r="AI90">
        <f t="shared" si="66"/>
        <v>4.196566757458946</v>
      </c>
      <c r="AJ90" t="str">
        <f t="shared" si="67"/>
        <v>C02353</v>
      </c>
      <c r="AL90">
        <f t="shared" si="68"/>
        <v>4.3228909799769131</v>
      </c>
      <c r="AM90">
        <f t="shared" si="69"/>
        <v>0.15880964868249195</v>
      </c>
      <c r="AN90">
        <f t="shared" si="70"/>
        <v>0.15091105770222923</v>
      </c>
      <c r="AO90">
        <f t="shared" si="71"/>
        <v>-1.1184251805978962</v>
      </c>
      <c r="AP90">
        <f t="shared" si="72"/>
        <v>0.64429195927947758</v>
      </c>
      <c r="AQ90">
        <f t="shared" si="73"/>
        <v>0.29881888773815501</v>
      </c>
      <c r="AR90">
        <f t="shared" si="74"/>
        <v>0.21090219355761106</v>
      </c>
      <c r="AS90">
        <f t="shared" si="75"/>
        <v>0.6006562722795814</v>
      </c>
      <c r="AT90">
        <f t="shared" si="76"/>
        <v>-0.81214168178369106</v>
      </c>
      <c r="AU90">
        <f t="shared" si="77"/>
        <v>-4.5544797774888894E-2</v>
      </c>
      <c r="AV90">
        <f t="shared" si="78"/>
        <v>2.4120287626153609</v>
      </c>
      <c r="AW90">
        <f t="shared" si="79"/>
        <v>0.75750632491880843</v>
      </c>
      <c r="AX90">
        <f t="shared" si="80"/>
        <v>-0.39889621219713634</v>
      </c>
      <c r="AY90">
        <f t="shared" si="81"/>
        <v>1.203228159560642</v>
      </c>
      <c r="AZ90">
        <f t="shared" si="82"/>
        <v>-0.8754687846681467</v>
      </c>
      <c r="BA90">
        <f t="shared" si="83"/>
        <v>-0.75191581515161932</v>
      </c>
      <c r="BB90">
        <f t="shared" si="84"/>
        <v>-1.4805068915181141</v>
      </c>
      <c r="BC90">
        <f t="shared" si="85"/>
        <v>-0.79544425396045682</v>
      </c>
      <c r="BD90" t="str">
        <f t="shared" si="86"/>
        <v>C02353</v>
      </c>
    </row>
    <row r="91" spans="1:56" x14ac:dyDescent="0.2">
      <c r="A91" t="s">
        <v>153</v>
      </c>
      <c r="B91">
        <v>132609.5</v>
      </c>
      <c r="C91">
        <v>148628.5312</v>
      </c>
      <c r="D91">
        <v>162805.79689999999</v>
      </c>
      <c r="E91">
        <v>94799.078120000006</v>
      </c>
      <c r="F91">
        <v>99185.507809999996</v>
      </c>
      <c r="G91">
        <v>80252.375</v>
      </c>
      <c r="H91">
        <v>59761.882810000003</v>
      </c>
      <c r="I91">
        <v>72980.125</v>
      </c>
      <c r="J91">
        <v>77795.671879999994</v>
      </c>
      <c r="K91">
        <v>69766.414059999996</v>
      </c>
      <c r="L91">
        <v>50591.964840000001</v>
      </c>
      <c r="M91">
        <v>72903.632809999996</v>
      </c>
      <c r="N91">
        <v>56411.160159999999</v>
      </c>
      <c r="O91">
        <v>52426.863279999998</v>
      </c>
      <c r="P91">
        <v>47498.09375</v>
      </c>
      <c r="Q91">
        <v>69040.359379999994</v>
      </c>
      <c r="R91" s="2" t="s">
        <v>383</v>
      </c>
      <c r="S91" s="4" t="s">
        <v>421</v>
      </c>
      <c r="T91">
        <f t="shared" si="51"/>
        <v>5.1225746375664221</v>
      </c>
      <c r="U91">
        <f t="shared" si="52"/>
        <v>5.1721021859611902</v>
      </c>
      <c r="V91">
        <f t="shared" si="53"/>
        <v>5.211669864415966</v>
      </c>
      <c r="W91">
        <f t="shared" si="54"/>
        <v>4.9768041140327535</v>
      </c>
      <c r="X91">
        <f t="shared" si="55"/>
        <v>4.9964482211669736</v>
      </c>
      <c r="Y91">
        <f t="shared" si="56"/>
        <v>4.9044578938386785</v>
      </c>
      <c r="Z91">
        <f t="shared" si="57"/>
        <v>4.7764242715568823</v>
      </c>
      <c r="AA91">
        <f t="shared" si="58"/>
        <v>4.8632046028867242</v>
      </c>
      <c r="AB91">
        <f t="shared" si="59"/>
        <v>4.8909554359238854</v>
      </c>
      <c r="AC91">
        <f t="shared" si="60"/>
        <v>4.8436464011506049</v>
      </c>
      <c r="AD91">
        <f t="shared" si="61"/>
        <v>4.7040815464297063</v>
      </c>
      <c r="AE91">
        <f t="shared" si="62"/>
        <v>4.862749169882135</v>
      </c>
      <c r="AF91">
        <f t="shared" si="63"/>
        <v>4.7513650315797626</v>
      </c>
      <c r="AG91">
        <f t="shared" si="64"/>
        <v>4.719553874480102</v>
      </c>
      <c r="AH91">
        <f t="shared" si="65"/>
        <v>4.6766761803518451</v>
      </c>
      <c r="AI91">
        <f t="shared" si="66"/>
        <v>4.8391030433726323</v>
      </c>
      <c r="AJ91" t="str">
        <f t="shared" si="67"/>
        <v>C01762</v>
      </c>
      <c r="AL91">
        <f t="shared" si="68"/>
        <v>4.8944885296622669</v>
      </c>
      <c r="AM91">
        <f t="shared" si="69"/>
        <v>0.16397994618364825</v>
      </c>
      <c r="AN91">
        <f t="shared" si="70"/>
        <v>1.3909390337810676</v>
      </c>
      <c r="AO91">
        <f t="shared" si="71"/>
        <v>1.6929732126391341</v>
      </c>
      <c r="AP91">
        <f t="shared" si="72"/>
        <v>1.9342690501829658</v>
      </c>
      <c r="AQ91">
        <f t="shared" si="73"/>
        <v>0.50198567743337219</v>
      </c>
      <c r="AR91">
        <f t="shared" si="74"/>
        <v>0.62178146704913329</v>
      </c>
      <c r="AS91">
        <f t="shared" si="75"/>
        <v>6.0796240079542804E-2</v>
      </c>
      <c r="AT91">
        <f t="shared" si="76"/>
        <v>-0.71999205301091684</v>
      </c>
      <c r="AU91">
        <f t="shared" si="77"/>
        <v>-0.19077897940341118</v>
      </c>
      <c r="AV91">
        <f t="shared" si="78"/>
        <v>-2.1545889120030842E-2</v>
      </c>
      <c r="AW91">
        <f t="shared" si="79"/>
        <v>-0.31005089155671345</v>
      </c>
      <c r="AX91">
        <f t="shared" si="80"/>
        <v>-1.1611601763749546</v>
      </c>
      <c r="AY91">
        <f t="shared" si="81"/>
        <v>-0.19355634953426309</v>
      </c>
      <c r="AZ91">
        <f t="shared" si="82"/>
        <v>-0.872810983376065</v>
      </c>
      <c r="BA91">
        <f t="shared" si="83"/>
        <v>-1.066805174983092</v>
      </c>
      <c r="BB91">
        <f t="shared" si="84"/>
        <v>-1.3282865031952402</v>
      </c>
      <c r="BC91">
        <f t="shared" si="85"/>
        <v>-0.33775768061056666</v>
      </c>
      <c r="BD91" t="str">
        <f t="shared" si="86"/>
        <v>C01762</v>
      </c>
    </row>
    <row r="92" spans="1:56" x14ac:dyDescent="0.2">
      <c r="A92" t="s">
        <v>154</v>
      </c>
      <c r="B92">
        <v>63833400</v>
      </c>
      <c r="C92">
        <v>39259628</v>
      </c>
      <c r="D92">
        <v>80850576</v>
      </c>
      <c r="E92">
        <v>35447864</v>
      </c>
      <c r="F92">
        <v>52256452</v>
      </c>
      <c r="G92">
        <v>36992892</v>
      </c>
      <c r="H92">
        <v>42154420</v>
      </c>
      <c r="I92">
        <v>46126456</v>
      </c>
      <c r="J92">
        <v>29074248</v>
      </c>
      <c r="K92">
        <v>18214698</v>
      </c>
      <c r="L92">
        <v>21172158</v>
      </c>
      <c r="M92">
        <v>26559314</v>
      </c>
      <c r="N92">
        <v>29915370</v>
      </c>
      <c r="O92">
        <v>36477364</v>
      </c>
      <c r="P92">
        <v>35538276</v>
      </c>
      <c r="Q92">
        <v>28392872</v>
      </c>
      <c r="R92" s="2" t="s">
        <v>155</v>
      </c>
      <c r="S92" s="4" t="s">
        <v>421</v>
      </c>
      <c r="T92">
        <f t="shared" si="51"/>
        <v>7.8050479771560024</v>
      </c>
      <c r="U92">
        <f t="shared" si="52"/>
        <v>7.5939461801770625</v>
      </c>
      <c r="V92">
        <f t="shared" si="53"/>
        <v>7.9076831182774292</v>
      </c>
      <c r="W92">
        <f t="shared" si="54"/>
        <v>7.5495900708036601</v>
      </c>
      <c r="X92">
        <f t="shared" si="55"/>
        <v>7.7181399195679194</v>
      </c>
      <c r="Y92">
        <f t="shared" si="56"/>
        <v>7.5681182845607555</v>
      </c>
      <c r="Z92">
        <f t="shared" si="57"/>
        <v>7.6248431182483047</v>
      </c>
      <c r="AA92">
        <f t="shared" si="58"/>
        <v>7.6639500880621982</v>
      </c>
      <c r="AB92">
        <f t="shared" si="59"/>
        <v>7.4635084906000069</v>
      </c>
      <c r="AC92">
        <f t="shared" si="60"/>
        <v>7.2604219750277936</v>
      </c>
      <c r="AD92">
        <f t="shared" si="61"/>
        <v>7.3257651263107331</v>
      </c>
      <c r="AE92">
        <f t="shared" si="62"/>
        <v>7.4242168534571951</v>
      </c>
      <c r="AF92">
        <f t="shared" si="63"/>
        <v>7.4758943786627583</v>
      </c>
      <c r="AG92">
        <f t="shared" si="64"/>
        <v>7.5620234469366086</v>
      </c>
      <c r="AH92">
        <f t="shared" si="65"/>
        <v>7.5506963558877631</v>
      </c>
      <c r="AI92">
        <f t="shared" si="66"/>
        <v>7.4532093245676565</v>
      </c>
      <c r="AJ92" t="str">
        <f t="shared" si="67"/>
        <v>C00148</v>
      </c>
      <c r="AL92">
        <f t="shared" si="68"/>
        <v>7.5591909192689908</v>
      </c>
      <c r="AM92">
        <f t="shared" si="69"/>
        <v>0.16597107955507664</v>
      </c>
      <c r="AN92">
        <f t="shared" si="70"/>
        <v>1.481324689494625</v>
      </c>
      <c r="AO92">
        <f t="shared" si="71"/>
        <v>0.20940552415059957</v>
      </c>
      <c r="AP92">
        <f t="shared" si="72"/>
        <v>2.0997164080793551</v>
      </c>
      <c r="AQ92">
        <f t="shared" si="73"/>
        <v>-5.7846514531736365E-2</v>
      </c>
      <c r="AR92">
        <f t="shared" si="74"/>
        <v>0.95769094666991228</v>
      </c>
      <c r="AS92">
        <f t="shared" si="75"/>
        <v>5.3788680026041792E-2</v>
      </c>
      <c r="AT92">
        <f t="shared" si="76"/>
        <v>0.39556408957096417</v>
      </c>
      <c r="AU92">
        <f t="shared" si="77"/>
        <v>0.63118929559317394</v>
      </c>
      <c r="AV92">
        <f t="shared" si="78"/>
        <v>-0.57650061038032951</v>
      </c>
      <c r="AW92">
        <f t="shared" si="79"/>
        <v>-1.800126534346318</v>
      </c>
      <c r="AX92">
        <f t="shared" si="80"/>
        <v>-1.4064245022928623</v>
      </c>
      <c r="AY92">
        <f t="shared" si="81"/>
        <v>-0.81323846403617128</v>
      </c>
      <c r="AZ92">
        <f t="shared" si="82"/>
        <v>-0.50187382542505521</v>
      </c>
      <c r="BA92">
        <f t="shared" si="83"/>
        <v>1.7066392983711407E-2</v>
      </c>
      <c r="BB92">
        <f t="shared" si="84"/>
        <v>-5.1180985289722085E-2</v>
      </c>
      <c r="BC92">
        <f t="shared" si="85"/>
        <v>-0.63855459026622063</v>
      </c>
      <c r="BD92" t="str">
        <f t="shared" si="86"/>
        <v>C00148</v>
      </c>
    </row>
    <row r="93" spans="1:56" x14ac:dyDescent="0.2">
      <c r="A93" t="s">
        <v>156</v>
      </c>
      <c r="B93">
        <v>1323682.75</v>
      </c>
      <c r="C93">
        <v>1658882.625</v>
      </c>
      <c r="D93">
        <v>1405470.625</v>
      </c>
      <c r="E93">
        <v>1555416.125</v>
      </c>
      <c r="F93">
        <v>3300651.75</v>
      </c>
      <c r="G93">
        <v>5380810.5</v>
      </c>
      <c r="H93">
        <v>2879174.25</v>
      </c>
      <c r="I93">
        <v>3285962.5</v>
      </c>
      <c r="J93">
        <v>649329.625</v>
      </c>
      <c r="K93">
        <v>572005.5625</v>
      </c>
      <c r="L93">
        <v>521802.4375</v>
      </c>
      <c r="M93">
        <v>513538.4375</v>
      </c>
      <c r="N93">
        <v>2239881.25</v>
      </c>
      <c r="O93">
        <v>3621550</v>
      </c>
      <c r="P93">
        <v>3601313.75</v>
      </c>
      <c r="Q93">
        <v>1854094.625</v>
      </c>
      <c r="R93" s="2"/>
      <c r="S93" s="4" t="s">
        <v>421</v>
      </c>
      <c r="T93">
        <f t="shared" si="51"/>
        <v>6.121783909247128</v>
      </c>
      <c r="U93">
        <f t="shared" si="52"/>
        <v>6.2198156584064215</v>
      </c>
      <c r="V93">
        <f t="shared" si="53"/>
        <v>6.1478217730784843</v>
      </c>
      <c r="W93">
        <f t="shared" si="54"/>
        <v>6.191846596973626</v>
      </c>
      <c r="X93">
        <f t="shared" si="55"/>
        <v>6.5185997045690787</v>
      </c>
      <c r="Y93">
        <f t="shared" si="56"/>
        <v>6.73084769744447</v>
      </c>
      <c r="Z93">
        <f t="shared" si="57"/>
        <v>6.4592679495336718</v>
      </c>
      <c r="AA93">
        <f t="shared" si="58"/>
        <v>6.516662602879931</v>
      </c>
      <c r="AB93">
        <f t="shared" si="59"/>
        <v>5.8124652175663085</v>
      </c>
      <c r="AC93">
        <f t="shared" si="60"/>
        <v>5.7574002521344747</v>
      </c>
      <c r="AD93">
        <f t="shared" si="61"/>
        <v>5.7175061034923109</v>
      </c>
      <c r="AE93">
        <f t="shared" si="62"/>
        <v>5.710572955371279</v>
      </c>
      <c r="AF93">
        <f t="shared" si="63"/>
        <v>6.3502249942998814</v>
      </c>
      <c r="AG93">
        <f t="shared" si="64"/>
        <v>6.5588944855533562</v>
      </c>
      <c r="AH93">
        <f t="shared" si="65"/>
        <v>6.5564609591824423</v>
      </c>
      <c r="AI93">
        <f t="shared" si="66"/>
        <v>6.2681318948929841</v>
      </c>
      <c r="AJ93">
        <f t="shared" si="67"/>
        <v>0</v>
      </c>
      <c r="AL93">
        <f t="shared" si="68"/>
        <v>6.227393922164115</v>
      </c>
      <c r="AM93">
        <f t="shared" si="69"/>
        <v>0.3316211555482339</v>
      </c>
      <c r="AN93">
        <f t="shared" si="70"/>
        <v>-0.31846584920794102</v>
      </c>
      <c r="AO93">
        <f t="shared" si="71"/>
        <v>-2.2852172217919006E-2</v>
      </c>
      <c r="AP93">
        <f t="shared" si="72"/>
        <v>-0.23994895305784264</v>
      </c>
      <c r="AQ93">
        <f t="shared" si="73"/>
        <v>-0.10719257380224242</v>
      </c>
      <c r="AR93">
        <f t="shared" si="74"/>
        <v>0.87812788036259071</v>
      </c>
      <c r="AS93">
        <f t="shared" si="75"/>
        <v>1.5181594022493785</v>
      </c>
      <c r="AT93">
        <f t="shared" si="76"/>
        <v>0.69921361617060929</v>
      </c>
      <c r="AU93">
        <f t="shared" si="77"/>
        <v>0.87228657121587716</v>
      </c>
      <c r="AV93">
        <f t="shared" si="78"/>
        <v>-1.2512130111598252</v>
      </c>
      <c r="AW93">
        <f t="shared" si="79"/>
        <v>-1.4172608175514312</v>
      </c>
      <c r="AX93">
        <f t="shared" si="80"/>
        <v>-1.5375611903554853</v>
      </c>
      <c r="AY93">
        <f t="shared" si="81"/>
        <v>-1.5584680233636816</v>
      </c>
      <c r="AZ93">
        <f t="shared" si="82"/>
        <v>0.37039576661718965</v>
      </c>
      <c r="BA93">
        <f t="shared" si="83"/>
        <v>0.99963635565169728</v>
      </c>
      <c r="BB93">
        <f t="shared" si="84"/>
        <v>0.99229808325803537</v>
      </c>
      <c r="BC93">
        <f t="shared" si="85"/>
        <v>0.12284491519101454</v>
      </c>
      <c r="BD93">
        <f t="shared" si="86"/>
        <v>0</v>
      </c>
    </row>
    <row r="94" spans="1:56" x14ac:dyDescent="0.2">
      <c r="A94" t="s">
        <v>157</v>
      </c>
      <c r="B94">
        <v>89503.914059999996</v>
      </c>
      <c r="C94">
        <v>66178.046879999994</v>
      </c>
      <c r="D94">
        <v>208995.75</v>
      </c>
      <c r="E94">
        <v>49053.890619999998</v>
      </c>
      <c r="F94">
        <v>53681.039060000003</v>
      </c>
      <c r="G94">
        <v>29469.09375</v>
      </c>
      <c r="H94">
        <v>31345.400389999999</v>
      </c>
      <c r="I94">
        <v>32367.38867</v>
      </c>
      <c r="J94">
        <v>53711.851560000003</v>
      </c>
      <c r="K94">
        <v>54664.109380000002</v>
      </c>
      <c r="L94">
        <v>36371.527340000001</v>
      </c>
      <c r="M94">
        <v>53559.292970000002</v>
      </c>
      <c r="N94">
        <v>98200.679690000004</v>
      </c>
      <c r="O94">
        <v>111506.7188</v>
      </c>
      <c r="P94">
        <v>100791.50780000001</v>
      </c>
      <c r="Q94">
        <v>52734.65625</v>
      </c>
      <c r="R94" s="2"/>
      <c r="S94" s="4" t="s">
        <v>421</v>
      </c>
      <c r="T94">
        <f t="shared" si="51"/>
        <v>4.9518420276901178</v>
      </c>
      <c r="U94">
        <f t="shared" si="52"/>
        <v>4.8207139456320043</v>
      </c>
      <c r="V94">
        <f t="shared" si="53"/>
        <v>5.32013745467414</v>
      </c>
      <c r="W94">
        <f t="shared" si="54"/>
        <v>4.6906734583579386</v>
      </c>
      <c r="X94">
        <f t="shared" si="55"/>
        <v>4.7298209135256339</v>
      </c>
      <c r="Y94">
        <f t="shared" si="56"/>
        <v>4.4693667803892554</v>
      </c>
      <c r="Z94">
        <f t="shared" si="57"/>
        <v>4.4961738216644349</v>
      </c>
      <c r="AA94">
        <f t="shared" si="58"/>
        <v>4.5101076628886405</v>
      </c>
      <c r="AB94">
        <f t="shared" si="59"/>
        <v>4.7300701236737845</v>
      </c>
      <c r="AC94">
        <f t="shared" si="60"/>
        <v>4.7377022767158543</v>
      </c>
      <c r="AD94">
        <f t="shared" si="61"/>
        <v>4.5607615386518132</v>
      </c>
      <c r="AE94">
        <f t="shared" si="62"/>
        <v>4.728834835306845</v>
      </c>
      <c r="AF94">
        <f t="shared" si="63"/>
        <v>4.9921144937400541</v>
      </c>
      <c r="AG94">
        <f t="shared" si="64"/>
        <v>5.0473010364411621</v>
      </c>
      <c r="AH94">
        <f t="shared" si="65"/>
        <v>5.0034239421197633</v>
      </c>
      <c r="AI94">
        <f t="shared" si="66"/>
        <v>4.7220961194142168</v>
      </c>
      <c r="AJ94">
        <f t="shared" si="67"/>
        <v>0</v>
      </c>
      <c r="AL94">
        <f t="shared" si="68"/>
        <v>4.7819462769303538</v>
      </c>
      <c r="AM94">
        <f t="shared" si="69"/>
        <v>0.23208382087941037</v>
      </c>
      <c r="AN94">
        <f t="shared" si="70"/>
        <v>0.73204478500912418</v>
      </c>
      <c r="AO94">
        <f t="shared" si="71"/>
        <v>0.16704166862968869</v>
      </c>
      <c r="AP94">
        <f t="shared" si="72"/>
        <v>2.3189517291833441</v>
      </c>
      <c r="AQ94">
        <f t="shared" si="73"/>
        <v>-0.39327523231289835</v>
      </c>
      <c r="AR94">
        <f t="shared" si="74"/>
        <v>-0.2245971442869511</v>
      </c>
      <c r="AS94">
        <f t="shared" si="75"/>
        <v>-1.3468388074475608</v>
      </c>
      <c r="AT94">
        <f t="shared" si="76"/>
        <v>-1.2313329476525847</v>
      </c>
      <c r="AU94">
        <f t="shared" si="77"/>
        <v>-1.1712949787351152</v>
      </c>
      <c r="AV94">
        <f t="shared" si="78"/>
        <v>-0.22352335057222211</v>
      </c>
      <c r="AW94">
        <f t="shared" si="79"/>
        <v>-0.19063802055158532</v>
      </c>
      <c r="AX94">
        <f t="shared" si="80"/>
        <v>-0.95303816285180465</v>
      </c>
      <c r="AY94">
        <f t="shared" si="81"/>
        <v>-0.22884594635791192</v>
      </c>
      <c r="AZ94">
        <f t="shared" si="82"/>
        <v>0.90557030650965842</v>
      </c>
      <c r="BA94">
        <f t="shared" si="83"/>
        <v>1.1433574236468873</v>
      </c>
      <c r="BB94">
        <f t="shared" si="84"/>
        <v>0.95430032283244848</v>
      </c>
      <c r="BC94">
        <f t="shared" si="85"/>
        <v>-0.25788164504252464</v>
      </c>
      <c r="BD94">
        <f t="shared" si="86"/>
        <v>0</v>
      </c>
    </row>
    <row r="95" spans="1:56" x14ac:dyDescent="0.2">
      <c r="A95" t="s">
        <v>158</v>
      </c>
      <c r="B95">
        <v>427772096</v>
      </c>
      <c r="C95">
        <v>271905600</v>
      </c>
      <c r="D95">
        <v>478197024</v>
      </c>
      <c r="E95">
        <v>235342640</v>
      </c>
      <c r="F95">
        <v>261522800</v>
      </c>
      <c r="G95">
        <v>184960192</v>
      </c>
      <c r="H95">
        <v>221503824</v>
      </c>
      <c r="I95">
        <v>232657072</v>
      </c>
      <c r="J95">
        <v>116619024</v>
      </c>
      <c r="K95">
        <v>68505016</v>
      </c>
      <c r="L95">
        <v>73859856</v>
      </c>
      <c r="M95">
        <v>94364552</v>
      </c>
      <c r="N95">
        <v>108470536</v>
      </c>
      <c r="O95">
        <v>141631600</v>
      </c>
      <c r="P95">
        <v>131216104</v>
      </c>
      <c r="Q95">
        <v>111761112</v>
      </c>
      <c r="R95" s="2" t="s">
        <v>384</v>
      </c>
      <c r="S95" s="4" t="s">
        <v>421</v>
      </c>
      <c r="T95">
        <f t="shared" si="51"/>
        <v>8.6312124516977171</v>
      </c>
      <c r="U95">
        <f t="shared" si="52"/>
        <v>8.434418152140843</v>
      </c>
      <c r="V95">
        <f t="shared" si="53"/>
        <v>8.679606869010204</v>
      </c>
      <c r="W95">
        <f t="shared" si="54"/>
        <v>8.3717006209244627</v>
      </c>
      <c r="X95">
        <f t="shared" si="55"/>
        <v>8.4175095573812744</v>
      </c>
      <c r="Y95">
        <f t="shared" si="56"/>
        <v>8.2670782675649228</v>
      </c>
      <c r="Z95">
        <f t="shared" si="57"/>
        <v>8.3453812282013615</v>
      </c>
      <c r="AA95">
        <f t="shared" si="58"/>
        <v>8.3667162581755257</v>
      </c>
      <c r="AB95">
        <f t="shared" si="59"/>
        <v>8.0667694024324099</v>
      </c>
      <c r="AC95">
        <f t="shared" si="60"/>
        <v>7.8357223720963134</v>
      </c>
      <c r="AD95">
        <f t="shared" si="61"/>
        <v>7.8684084565986536</v>
      </c>
      <c r="AE95">
        <f t="shared" si="62"/>
        <v>7.9748088824127876</v>
      </c>
      <c r="AF95">
        <f t="shared" si="63"/>
        <v>8.0353117861996441</v>
      </c>
      <c r="AG95">
        <f t="shared" si="64"/>
        <v>8.1511601613660272</v>
      </c>
      <c r="AH95">
        <f t="shared" si="65"/>
        <v>8.1179871387678713</v>
      </c>
      <c r="AI95">
        <f t="shared" si="66"/>
        <v>8.0482907142680915</v>
      </c>
      <c r="AJ95" t="str">
        <f t="shared" si="67"/>
        <v>C00183</v>
      </c>
      <c r="AL95">
        <f t="shared" si="68"/>
        <v>8.225755144952382</v>
      </c>
      <c r="AM95">
        <f t="shared" si="69"/>
        <v>0.25309925619577683</v>
      </c>
      <c r="AN95">
        <f t="shared" si="70"/>
        <v>1.6019695705138959</v>
      </c>
      <c r="AO95">
        <f t="shared" si="71"/>
        <v>0.82443153063656727</v>
      </c>
      <c r="AP95">
        <f t="shared" si="72"/>
        <v>1.7931768385236164</v>
      </c>
      <c r="AQ95">
        <f t="shared" si="73"/>
        <v>0.57663336576220192</v>
      </c>
      <c r="AR95">
        <f t="shared" si="74"/>
        <v>0.75762534948173399</v>
      </c>
      <c r="AS95">
        <f t="shared" si="75"/>
        <v>0.16326844746069347</v>
      </c>
      <c r="AT95">
        <f t="shared" si="76"/>
        <v>0.47264494193711326</v>
      </c>
      <c r="AU95">
        <f t="shared" si="77"/>
        <v>0.5569400532497325</v>
      </c>
      <c r="AV95">
        <f t="shared" si="78"/>
        <v>-0.62815570819771105</v>
      </c>
      <c r="AW95">
        <f t="shared" si="79"/>
        <v>-1.5410269422300129</v>
      </c>
      <c r="AX95">
        <f t="shared" si="80"/>
        <v>-1.4118835974662616</v>
      </c>
      <c r="AY95">
        <f t="shared" si="81"/>
        <v>-0.99149348090332967</v>
      </c>
      <c r="AZ95">
        <f t="shared" si="82"/>
        <v>-0.75244535134242552</v>
      </c>
      <c r="BA95">
        <f t="shared" si="83"/>
        <v>-0.29472620626215629</v>
      </c>
      <c r="BB95">
        <f t="shared" si="84"/>
        <v>-0.42579345275179425</v>
      </c>
      <c r="BC95">
        <f t="shared" si="85"/>
        <v>-0.70116535841187377</v>
      </c>
      <c r="BD95" t="str">
        <f t="shared" si="86"/>
        <v>C00183</v>
      </c>
    </row>
    <row r="96" spans="1:56" x14ac:dyDescent="0.2">
      <c r="A96" t="s">
        <v>159</v>
      </c>
      <c r="B96">
        <v>133045.01560000001</v>
      </c>
      <c r="C96">
        <v>145174.14060000001</v>
      </c>
      <c r="D96">
        <v>84078.679690000004</v>
      </c>
      <c r="E96">
        <v>34274.53125</v>
      </c>
      <c r="H96">
        <v>22395.466799999998</v>
      </c>
      <c r="J96">
        <v>46991.6875</v>
      </c>
      <c r="K96">
        <v>15938.891600000001</v>
      </c>
      <c r="L96">
        <v>21108.462889999999</v>
      </c>
      <c r="M96">
        <v>28680.20117</v>
      </c>
      <c r="N96">
        <v>64762.316409999999</v>
      </c>
      <c r="O96">
        <v>71546.453120000006</v>
      </c>
      <c r="P96">
        <v>78996.726559999996</v>
      </c>
      <c r="Q96">
        <v>35470.269529999998</v>
      </c>
      <c r="R96" s="2"/>
      <c r="S96" s="4" t="s">
        <v>421</v>
      </c>
      <c r="T96">
        <f t="shared" si="51"/>
        <v>5.1239986087786953</v>
      </c>
      <c r="U96">
        <f t="shared" si="52"/>
        <v>5.1618892637821139</v>
      </c>
      <c r="V96">
        <f t="shared" si="53"/>
        <v>4.9246858832312999</v>
      </c>
      <c r="W96">
        <f t="shared" si="54"/>
        <v>4.5349715239449795</v>
      </c>
      <c r="X96" t="e">
        <f t="shared" si="55"/>
        <v>#NUM!</v>
      </c>
      <c r="Y96" t="e">
        <f t="shared" si="56"/>
        <v>#NUM!</v>
      </c>
      <c r="Z96">
        <f t="shared" si="57"/>
        <v>4.3501601190937835</v>
      </c>
      <c r="AA96" t="e">
        <f t="shared" si="58"/>
        <v>#NUM!</v>
      </c>
      <c r="AB96">
        <f t="shared" si="59"/>
        <v>4.6720210410812433</v>
      </c>
      <c r="AC96">
        <f t="shared" si="60"/>
        <v>4.2024581170136193</v>
      </c>
      <c r="AD96">
        <f t="shared" si="61"/>
        <v>4.3244566093049963</v>
      </c>
      <c r="AE96">
        <f t="shared" si="62"/>
        <v>4.4575821932549857</v>
      </c>
      <c r="AF96">
        <f t="shared" si="63"/>
        <v>4.8113223741469522</v>
      </c>
      <c r="AG96">
        <f t="shared" si="64"/>
        <v>4.8545881086954683</v>
      </c>
      <c r="AH96">
        <f t="shared" si="65"/>
        <v>4.8976090955134399</v>
      </c>
      <c r="AI96">
        <f t="shared" si="66"/>
        <v>4.5498644885832187</v>
      </c>
      <c r="AJ96">
        <f t="shared" si="67"/>
        <v>0</v>
      </c>
      <c r="AL96" t="e">
        <f t="shared" si="68"/>
        <v>#NUM!</v>
      </c>
      <c r="AM96" t="e">
        <f t="shared" si="69"/>
        <v>#NUM!</v>
      </c>
      <c r="AN96" t="e">
        <f t="shared" si="70"/>
        <v>#NUM!</v>
      </c>
      <c r="AO96" t="e">
        <f t="shared" si="71"/>
        <v>#NUM!</v>
      </c>
      <c r="AP96" t="e">
        <f t="shared" si="72"/>
        <v>#NUM!</v>
      </c>
      <c r="AQ96" t="e">
        <f t="shared" si="73"/>
        <v>#NUM!</v>
      </c>
      <c r="AR96" t="e">
        <f t="shared" si="74"/>
        <v>#NUM!</v>
      </c>
      <c r="AS96" t="e">
        <f t="shared" si="75"/>
        <v>#NUM!</v>
      </c>
      <c r="AT96" t="e">
        <f t="shared" si="76"/>
        <v>#NUM!</v>
      </c>
      <c r="AU96" t="e">
        <f t="shared" si="77"/>
        <v>#NUM!</v>
      </c>
      <c r="AV96" t="e">
        <f t="shared" si="78"/>
        <v>#NUM!</v>
      </c>
      <c r="AW96" t="e">
        <f t="shared" si="79"/>
        <v>#NUM!</v>
      </c>
      <c r="AX96" t="e">
        <f t="shared" si="80"/>
        <v>#NUM!</v>
      </c>
      <c r="AY96" t="e">
        <f t="shared" si="81"/>
        <v>#NUM!</v>
      </c>
      <c r="AZ96" t="e">
        <f t="shared" si="82"/>
        <v>#NUM!</v>
      </c>
      <c r="BA96" t="e">
        <f t="shared" si="83"/>
        <v>#NUM!</v>
      </c>
      <c r="BB96" t="e">
        <f t="shared" si="84"/>
        <v>#NUM!</v>
      </c>
      <c r="BC96" t="e">
        <f t="shared" si="85"/>
        <v>#NUM!</v>
      </c>
      <c r="BD96">
        <f t="shared" si="86"/>
        <v>0</v>
      </c>
    </row>
    <row r="97" spans="1:56" x14ac:dyDescent="0.2">
      <c r="A97" t="s">
        <v>160</v>
      </c>
      <c r="B97">
        <v>2071253.75</v>
      </c>
      <c r="C97">
        <v>1927514.75</v>
      </c>
      <c r="D97">
        <v>2597534.75</v>
      </c>
      <c r="E97">
        <v>1276594.25</v>
      </c>
      <c r="F97">
        <v>230528.2812</v>
      </c>
      <c r="G97">
        <v>487487.9375</v>
      </c>
      <c r="H97">
        <v>379084.78120000003</v>
      </c>
      <c r="I97">
        <v>395278.0625</v>
      </c>
      <c r="J97">
        <v>31964.41992</v>
      </c>
      <c r="K97">
        <v>39672.160159999999</v>
      </c>
      <c r="L97">
        <v>11030.075199999999</v>
      </c>
      <c r="M97">
        <v>28100.64258</v>
      </c>
      <c r="N97">
        <v>194887.25</v>
      </c>
      <c r="O97">
        <v>208846.9688</v>
      </c>
      <c r="P97">
        <v>248981.79689999999</v>
      </c>
      <c r="Q97">
        <v>418971.84379999997</v>
      </c>
      <c r="R97" s="2" t="s">
        <v>385</v>
      </c>
      <c r="S97" s="4" t="s">
        <v>421</v>
      </c>
      <c r="T97">
        <f t="shared" si="51"/>
        <v>6.3162333077172343</v>
      </c>
      <c r="U97">
        <f t="shared" si="52"/>
        <v>6.2849977101051469</v>
      </c>
      <c r="V97">
        <f t="shared" si="53"/>
        <v>6.4145613662897718</v>
      </c>
      <c r="W97">
        <f t="shared" si="54"/>
        <v>6.1060528839611727</v>
      </c>
      <c r="X97">
        <f t="shared" si="55"/>
        <v>5.3627242122231529</v>
      </c>
      <c r="Y97">
        <f t="shared" si="56"/>
        <v>5.6879638738971181</v>
      </c>
      <c r="Z97">
        <f t="shared" si="57"/>
        <v>5.5787363495186764</v>
      </c>
      <c r="AA97">
        <f t="shared" si="58"/>
        <v>5.5969027121431978</v>
      </c>
      <c r="AB97">
        <f t="shared" si="59"/>
        <v>4.5046668274049848</v>
      </c>
      <c r="AC97">
        <f t="shared" si="60"/>
        <v>4.5984858485716149</v>
      </c>
      <c r="AD97">
        <f t="shared" si="61"/>
        <v>4.0425784733498649</v>
      </c>
      <c r="AE97">
        <f t="shared" si="62"/>
        <v>4.4487162510708238</v>
      </c>
      <c r="AF97">
        <f t="shared" si="63"/>
        <v>5.2897834274410149</v>
      </c>
      <c r="AG97">
        <f t="shared" si="64"/>
        <v>5.3198281763069728</v>
      </c>
      <c r="AH97">
        <f t="shared" si="65"/>
        <v>5.3961675969155642</v>
      </c>
      <c r="AI97">
        <f t="shared" si="66"/>
        <v>5.6221848380184083</v>
      </c>
      <c r="AJ97" t="str">
        <f t="shared" si="67"/>
        <v>C00366</v>
      </c>
      <c r="AL97">
        <f t="shared" si="68"/>
        <v>5.4106614909334194</v>
      </c>
      <c r="AM97">
        <f t="shared" si="69"/>
        <v>0.71008439038789173</v>
      </c>
      <c r="AN97">
        <f t="shared" si="70"/>
        <v>1.275301681098969</v>
      </c>
      <c r="AO97">
        <f t="shared" si="71"/>
        <v>1.2313131101137307</v>
      </c>
      <c r="AP97">
        <f t="shared" si="72"/>
        <v>1.4137754454903038</v>
      </c>
      <c r="AQ97">
        <f t="shared" si="73"/>
        <v>0.97930809695434629</v>
      </c>
      <c r="AR97">
        <f t="shared" si="74"/>
        <v>-6.7509269826478299E-2</v>
      </c>
      <c r="AS97">
        <f t="shared" si="75"/>
        <v>0.39052031944008669</v>
      </c>
      <c r="AT97">
        <f t="shared" si="76"/>
        <v>0.23669701919999134</v>
      </c>
      <c r="AU97">
        <f t="shared" si="77"/>
        <v>0.26228040459816609</v>
      </c>
      <c r="AV97">
        <f t="shared" si="78"/>
        <v>-1.2758971691146803</v>
      </c>
      <c r="AW97">
        <f t="shared" si="79"/>
        <v>-1.1437734068737158</v>
      </c>
      <c r="AX97">
        <f t="shared" si="80"/>
        <v>-1.9266484886905111</v>
      </c>
      <c r="AY97">
        <f t="shared" si="81"/>
        <v>-1.3546914322917618</v>
      </c>
      <c r="AZ97">
        <f t="shared" si="82"/>
        <v>-0.17023056009775608</v>
      </c>
      <c r="BA97">
        <f t="shared" si="83"/>
        <v>-0.12791904153368008</v>
      </c>
      <c r="BB97">
        <f t="shared" si="84"/>
        <v>-2.0411509130538293E-2</v>
      </c>
      <c r="BC97">
        <f t="shared" si="85"/>
        <v>0.29788480066354062</v>
      </c>
      <c r="BD97" t="str">
        <f t="shared" si="86"/>
        <v>C00366</v>
      </c>
    </row>
    <row r="98" spans="1:56" x14ac:dyDescent="0.2">
      <c r="A98" t="s">
        <v>161</v>
      </c>
      <c r="C98">
        <v>41724.515619999998</v>
      </c>
      <c r="E98">
        <v>37382.167970000002</v>
      </c>
      <c r="G98">
        <v>75824.507809999996</v>
      </c>
      <c r="K98">
        <v>93185.601559999996</v>
      </c>
      <c r="L98">
        <v>72641.0625</v>
      </c>
      <c r="M98">
        <v>31258.552729999999</v>
      </c>
      <c r="N98">
        <v>186299.1562</v>
      </c>
      <c r="O98">
        <v>65865.734379999994</v>
      </c>
      <c r="P98">
        <v>114681.2812</v>
      </c>
      <c r="Q98">
        <v>446678.71879999997</v>
      </c>
      <c r="R98" s="2" t="s">
        <v>386</v>
      </c>
      <c r="S98" s="4" t="s">
        <v>421</v>
      </c>
      <c r="T98" t="e">
        <f t="shared" si="51"/>
        <v>#NUM!</v>
      </c>
      <c r="U98">
        <f t="shared" si="52"/>
        <v>4.6203913036548867</v>
      </c>
      <c r="V98" t="e">
        <f t="shared" si="53"/>
        <v>#NUM!</v>
      </c>
      <c r="W98">
        <f t="shared" si="54"/>
        <v>4.5726644845790698</v>
      </c>
      <c r="X98" t="e">
        <f t="shared" si="55"/>
        <v>#NUM!</v>
      </c>
      <c r="Y98">
        <f t="shared" si="56"/>
        <v>4.8798095999112236</v>
      </c>
      <c r="Z98" t="e">
        <f t="shared" si="57"/>
        <v>#NUM!</v>
      </c>
      <c r="AA98" t="e">
        <f t="shared" si="58"/>
        <v>#NUM!</v>
      </c>
      <c r="AB98" t="e">
        <f t="shared" si="59"/>
        <v>#NUM!</v>
      </c>
      <c r="AC98">
        <f t="shared" si="60"/>
        <v>4.9693488131467456</v>
      </c>
      <c r="AD98">
        <f t="shared" si="61"/>
        <v>4.8611821878603907</v>
      </c>
      <c r="AE98">
        <f t="shared" si="62"/>
        <v>4.4949688663279117</v>
      </c>
      <c r="AF98">
        <f t="shared" si="63"/>
        <v>5.2702108878618157</v>
      </c>
      <c r="AG98">
        <f t="shared" si="64"/>
        <v>4.8186595384192898</v>
      </c>
      <c r="AH98">
        <f t="shared" si="65"/>
        <v>5.0594925361665126</v>
      </c>
      <c r="AI98">
        <f t="shared" si="66"/>
        <v>5.6499952617892975</v>
      </c>
      <c r="AJ98" t="str">
        <f t="shared" si="67"/>
        <v>C02637</v>
      </c>
      <c r="AL98" t="e">
        <f t="shared" si="68"/>
        <v>#NUM!</v>
      </c>
      <c r="AM98" t="e">
        <f t="shared" si="69"/>
        <v>#NUM!</v>
      </c>
      <c r="AN98" t="e">
        <f t="shared" si="70"/>
        <v>#NUM!</v>
      </c>
      <c r="AO98" t="e">
        <f t="shared" si="71"/>
        <v>#NUM!</v>
      </c>
      <c r="AP98" t="e">
        <f t="shared" si="72"/>
        <v>#NUM!</v>
      </c>
      <c r="AQ98" t="e">
        <f t="shared" si="73"/>
        <v>#NUM!</v>
      </c>
      <c r="AR98" t="e">
        <f t="shared" si="74"/>
        <v>#NUM!</v>
      </c>
      <c r="AS98" t="e">
        <f t="shared" si="75"/>
        <v>#NUM!</v>
      </c>
      <c r="AT98" t="e">
        <f t="shared" si="76"/>
        <v>#NUM!</v>
      </c>
      <c r="AU98" t="e">
        <f t="shared" si="77"/>
        <v>#NUM!</v>
      </c>
      <c r="AV98" t="e">
        <f t="shared" si="78"/>
        <v>#NUM!</v>
      </c>
      <c r="AW98" t="e">
        <f t="shared" si="79"/>
        <v>#NUM!</v>
      </c>
      <c r="AX98" t="e">
        <f t="shared" si="80"/>
        <v>#NUM!</v>
      </c>
      <c r="AY98" t="e">
        <f t="shared" si="81"/>
        <v>#NUM!</v>
      </c>
      <c r="AZ98" t="e">
        <f t="shared" si="82"/>
        <v>#NUM!</v>
      </c>
      <c r="BA98" t="e">
        <f t="shared" si="83"/>
        <v>#NUM!</v>
      </c>
      <c r="BB98" t="e">
        <f t="shared" si="84"/>
        <v>#NUM!</v>
      </c>
      <c r="BC98" t="e">
        <f t="shared" si="85"/>
        <v>#NUM!</v>
      </c>
      <c r="BD98" t="str">
        <f t="shared" si="86"/>
        <v>C02637</v>
      </c>
    </row>
    <row r="99" spans="1:56" x14ac:dyDescent="0.2">
      <c r="A99" t="s">
        <v>162</v>
      </c>
      <c r="B99">
        <v>7125909.5</v>
      </c>
      <c r="C99">
        <v>5587712.5</v>
      </c>
      <c r="D99">
        <v>9175162</v>
      </c>
      <c r="E99">
        <v>3534628</v>
      </c>
      <c r="F99">
        <v>2533025.25</v>
      </c>
      <c r="G99">
        <v>3328747.25</v>
      </c>
      <c r="H99">
        <v>2564082.25</v>
      </c>
      <c r="I99">
        <v>2675855.5</v>
      </c>
      <c r="J99">
        <v>1384093.5</v>
      </c>
      <c r="K99">
        <v>967655.75</v>
      </c>
      <c r="L99">
        <v>616643.6875</v>
      </c>
      <c r="M99">
        <v>552070.4375</v>
      </c>
      <c r="N99">
        <v>1288202.875</v>
      </c>
      <c r="O99">
        <v>1507136.125</v>
      </c>
      <c r="P99">
        <v>1244802.75</v>
      </c>
      <c r="Q99">
        <v>1201724.5</v>
      </c>
      <c r="R99" s="2" t="s">
        <v>163</v>
      </c>
      <c r="S99" s="4" t="s">
        <v>421</v>
      </c>
      <c r="T99">
        <f t="shared" si="51"/>
        <v>6.8528403024522415</v>
      </c>
      <c r="U99">
        <f t="shared" si="52"/>
        <v>6.7472340526182997</v>
      </c>
      <c r="V99">
        <f t="shared" si="53"/>
        <v>6.9626137410532767</v>
      </c>
      <c r="W99">
        <f t="shared" si="54"/>
        <v>6.5483437134515921</v>
      </c>
      <c r="X99">
        <f t="shared" si="55"/>
        <v>6.403639518997422</v>
      </c>
      <c r="Y99">
        <f t="shared" si="56"/>
        <v>6.5222808206605709</v>
      </c>
      <c r="Z99">
        <f t="shared" si="57"/>
        <v>6.4089319522618382</v>
      </c>
      <c r="AA99">
        <f t="shared" si="58"/>
        <v>6.4274626572097429</v>
      </c>
      <c r="AB99">
        <f t="shared" si="59"/>
        <v>6.1411654291109672</v>
      </c>
      <c r="AC99">
        <f t="shared" si="60"/>
        <v>5.9857208816202743</v>
      </c>
      <c r="AD99">
        <f t="shared" si="61"/>
        <v>5.7900342900435247</v>
      </c>
      <c r="AE99">
        <f t="shared" si="62"/>
        <v>5.741994491979181</v>
      </c>
      <c r="AF99">
        <f t="shared" si="63"/>
        <v>6.1099842640756306</v>
      </c>
      <c r="AG99">
        <f t="shared" si="64"/>
        <v>6.1781524796978271</v>
      </c>
      <c r="AH99">
        <f t="shared" si="65"/>
        <v>6.0951005390836812</v>
      </c>
      <c r="AI99">
        <f t="shared" si="66"/>
        <v>6.0798049153841793</v>
      </c>
      <c r="AJ99" t="str">
        <f t="shared" si="67"/>
        <v>C00258</v>
      </c>
      <c r="AL99">
        <f t="shared" si="68"/>
        <v>6.3122065031062666</v>
      </c>
      <c r="AM99">
        <f t="shared" si="69"/>
        <v>0.35861943807483387</v>
      </c>
      <c r="AN99">
        <f t="shared" si="70"/>
        <v>1.5075418171648567</v>
      </c>
      <c r="AO99">
        <f t="shared" si="71"/>
        <v>1.2130618235513908</v>
      </c>
      <c r="AP99">
        <f t="shared" si="72"/>
        <v>1.8136418969327821</v>
      </c>
      <c r="AQ99">
        <f t="shared" si="73"/>
        <v>0.65846182686854293</v>
      </c>
      <c r="AR99">
        <f t="shared" si="74"/>
        <v>0.25495833795845685</v>
      </c>
      <c r="AS99">
        <f t="shared" si="75"/>
        <v>0.58578619910298235</v>
      </c>
      <c r="AT99">
        <f t="shared" si="76"/>
        <v>0.26971613606562977</v>
      </c>
      <c r="AU99">
        <f t="shared" si="77"/>
        <v>0.32138847442905616</v>
      </c>
      <c r="AV99">
        <f t="shared" si="78"/>
        <v>-0.47694312085673374</v>
      </c>
      <c r="AW99">
        <f t="shared" si="79"/>
        <v>-0.91039577564076135</v>
      </c>
      <c r="AX99">
        <f t="shared" si="80"/>
        <v>-1.4560622142121007</v>
      </c>
      <c r="AY99">
        <f t="shared" si="81"/>
        <v>-1.5900198109398027</v>
      </c>
      <c r="AZ99">
        <f t="shared" si="82"/>
        <v>-0.56389090372853112</v>
      </c>
      <c r="BA99">
        <f t="shared" si="83"/>
        <v>-0.37380579292655686</v>
      </c>
      <c r="BB99">
        <f t="shared" si="84"/>
        <v>-0.60539374326185147</v>
      </c>
      <c r="BC99">
        <f t="shared" si="85"/>
        <v>-0.64804515050740663</v>
      </c>
      <c r="BD99" t="str">
        <f t="shared" si="86"/>
        <v>C00258</v>
      </c>
    </row>
    <row r="100" spans="1:56" x14ac:dyDescent="0.2">
      <c r="A100" t="s">
        <v>164</v>
      </c>
      <c r="B100">
        <v>5197883</v>
      </c>
      <c r="C100">
        <v>6974974</v>
      </c>
      <c r="D100">
        <v>6826745.5</v>
      </c>
      <c r="E100">
        <v>6224509.5</v>
      </c>
      <c r="F100">
        <v>2974402.5</v>
      </c>
      <c r="G100">
        <v>5234801.5</v>
      </c>
      <c r="H100">
        <v>5173743</v>
      </c>
      <c r="I100">
        <v>8109463</v>
      </c>
      <c r="J100">
        <v>2680493.5</v>
      </c>
      <c r="K100">
        <v>1825032.75</v>
      </c>
      <c r="L100">
        <v>1768099.375</v>
      </c>
      <c r="M100">
        <v>2968170.75</v>
      </c>
      <c r="N100">
        <v>2817960.5</v>
      </c>
      <c r="O100">
        <v>3552840.25</v>
      </c>
      <c r="P100">
        <v>4555205.5</v>
      </c>
      <c r="Q100">
        <v>2376936.5</v>
      </c>
      <c r="R100" s="2"/>
      <c r="S100" s="4" t="s">
        <v>421</v>
      </c>
      <c r="T100">
        <f t="shared" si="51"/>
        <v>6.7158264996693706</v>
      </c>
      <c r="U100">
        <f t="shared" si="52"/>
        <v>6.8435425930671299</v>
      </c>
      <c r="V100">
        <f t="shared" si="53"/>
        <v>6.8342137127233853</v>
      </c>
      <c r="W100">
        <f t="shared" si="54"/>
        <v>6.7941051341073164</v>
      </c>
      <c r="X100">
        <f t="shared" si="55"/>
        <v>6.4733997374546348</v>
      </c>
      <c r="Y100">
        <f t="shared" si="56"/>
        <v>6.7189002181850421</v>
      </c>
      <c r="Z100">
        <f t="shared" si="57"/>
        <v>6.7138048518150146</v>
      </c>
      <c r="AA100">
        <f t="shared" si="58"/>
        <v>6.9089920966454006</v>
      </c>
      <c r="AB100">
        <f t="shared" si="59"/>
        <v>6.4282147584303591</v>
      </c>
      <c r="AC100">
        <f t="shared" si="60"/>
        <v>6.2612706622262824</v>
      </c>
      <c r="AD100">
        <f t="shared" si="61"/>
        <v>6.2475066706325295</v>
      </c>
      <c r="AE100">
        <f t="shared" si="62"/>
        <v>6.4724888809903334</v>
      </c>
      <c r="AF100">
        <f t="shared" si="63"/>
        <v>6.4499349012104332</v>
      </c>
      <c r="AG100">
        <f t="shared" si="64"/>
        <v>6.5505756803001276</v>
      </c>
      <c r="AH100">
        <f t="shared" si="65"/>
        <v>6.6585079741746327</v>
      </c>
      <c r="AI100">
        <f t="shared" si="66"/>
        <v>6.3760175796802345</v>
      </c>
      <c r="AJ100">
        <f t="shared" si="67"/>
        <v>0</v>
      </c>
      <c r="AL100">
        <f t="shared" si="68"/>
        <v>6.5904563719570151</v>
      </c>
      <c r="AM100">
        <f t="shared" si="69"/>
        <v>0.21066701452951289</v>
      </c>
      <c r="AN100">
        <f t="shared" si="70"/>
        <v>0.59511038304856279</v>
      </c>
      <c r="AO100">
        <f t="shared" si="71"/>
        <v>1.2013566607726303</v>
      </c>
      <c r="AP100">
        <f t="shared" si="72"/>
        <v>1.1570740740346024</v>
      </c>
      <c r="AQ100">
        <f t="shared" si="73"/>
        <v>0.96668556586855547</v>
      </c>
      <c r="AR100">
        <f t="shared" si="74"/>
        <v>-0.55564766398672005</v>
      </c>
      <c r="AS100">
        <f t="shared" si="75"/>
        <v>0.60970079494829044</v>
      </c>
      <c r="AT100">
        <f t="shared" si="76"/>
        <v>0.58551396920622023</v>
      </c>
      <c r="AU100">
        <f t="shared" si="77"/>
        <v>1.512034171081686</v>
      </c>
      <c r="AV100">
        <f t="shared" si="78"/>
        <v>-0.77013296974371448</v>
      </c>
      <c r="AW100">
        <f t="shared" si="79"/>
        <v>-1.5625878140719378</v>
      </c>
      <c r="AX100">
        <f t="shared" si="80"/>
        <v>-1.6279231093220854</v>
      </c>
      <c r="AY100">
        <f t="shared" si="81"/>
        <v>-0.55997134259552206</v>
      </c>
      <c r="AZ100">
        <f t="shared" si="82"/>
        <v>-0.66703119641397779</v>
      </c>
      <c r="BA100">
        <f t="shared" si="83"/>
        <v>-0.18930676805741919</v>
      </c>
      <c r="BB100">
        <f t="shared" si="84"/>
        <v>0.32302922396084988</v>
      </c>
      <c r="BC100">
        <f t="shared" si="85"/>
        <v>-1.0179039787300885</v>
      </c>
      <c r="BD100">
        <f t="shared" si="86"/>
        <v>0</v>
      </c>
    </row>
    <row r="101" spans="1:56" x14ac:dyDescent="0.2">
      <c r="A101" t="s">
        <v>165</v>
      </c>
      <c r="B101">
        <v>15988153</v>
      </c>
      <c r="C101">
        <v>9422536</v>
      </c>
      <c r="D101">
        <v>19009402</v>
      </c>
      <c r="E101">
        <v>9920773</v>
      </c>
      <c r="F101">
        <v>8927178</v>
      </c>
      <c r="G101">
        <v>10181136</v>
      </c>
      <c r="H101">
        <v>9664236</v>
      </c>
      <c r="I101">
        <v>9659470</v>
      </c>
      <c r="J101">
        <v>3506793</v>
      </c>
      <c r="K101">
        <v>2449262.25</v>
      </c>
      <c r="L101">
        <v>2446351.5</v>
      </c>
      <c r="M101">
        <v>3021509.25</v>
      </c>
      <c r="N101">
        <v>3152179.5</v>
      </c>
      <c r="O101">
        <v>4005829.75</v>
      </c>
      <c r="P101">
        <v>3406697.75</v>
      </c>
      <c r="Q101">
        <v>2987702.25</v>
      </c>
      <c r="R101" s="2" t="s">
        <v>166</v>
      </c>
      <c r="S101" s="4" t="s">
        <v>421</v>
      </c>
      <c r="T101">
        <f t="shared" si="51"/>
        <v>7.2037982956262079</v>
      </c>
      <c r="U101">
        <f t="shared" si="52"/>
        <v>6.9741678054022458</v>
      </c>
      <c r="V101">
        <f t="shared" si="53"/>
        <v>7.2789684549935281</v>
      </c>
      <c r="W101">
        <f t="shared" si="54"/>
        <v>6.9965455125327445</v>
      </c>
      <c r="X101">
        <f t="shared" si="55"/>
        <v>6.9507141943064124</v>
      </c>
      <c r="Y101">
        <f t="shared" si="56"/>
        <v>7.0077962388068515</v>
      </c>
      <c r="Z101">
        <f t="shared" si="57"/>
        <v>6.9851675268488984</v>
      </c>
      <c r="AA101">
        <f t="shared" si="58"/>
        <v>6.9849532980107325</v>
      </c>
      <c r="AB101">
        <f t="shared" si="59"/>
        <v>6.544910130976743</v>
      </c>
      <c r="AC101">
        <f t="shared" si="60"/>
        <v>6.3890352888528428</v>
      </c>
      <c r="AD101">
        <f t="shared" si="61"/>
        <v>6.3885188580734908</v>
      </c>
      <c r="AE101">
        <f t="shared" si="62"/>
        <v>6.4802239281286775</v>
      </c>
      <c r="AF101">
        <f t="shared" si="63"/>
        <v>6.4986109403022487</v>
      </c>
      <c r="AG101">
        <f t="shared" si="64"/>
        <v>6.6026924875919208</v>
      </c>
      <c r="AH101">
        <f t="shared" si="65"/>
        <v>6.5323336036793913</v>
      </c>
      <c r="AI101">
        <f t="shared" si="66"/>
        <v>6.4753373141523127</v>
      </c>
      <c r="AJ101" t="str">
        <f t="shared" si="67"/>
        <v>C00082</v>
      </c>
      <c r="AL101">
        <f t="shared" si="68"/>
        <v>6.7683608673928282</v>
      </c>
      <c r="AM101">
        <f t="shared" si="69"/>
        <v>0.30464774336833395</v>
      </c>
      <c r="AN101">
        <f t="shared" si="70"/>
        <v>1.4293144712610415</v>
      </c>
      <c r="AO101">
        <f t="shared" si="71"/>
        <v>0.67555707366782303</v>
      </c>
      <c r="AP101">
        <f t="shared" si="72"/>
        <v>1.6760589852239625</v>
      </c>
      <c r="AQ101">
        <f t="shared" si="73"/>
        <v>0.74901144061333147</v>
      </c>
      <c r="AR101">
        <f t="shared" si="74"/>
        <v>0.59857107391440656</v>
      </c>
      <c r="AS101">
        <f t="shared" si="75"/>
        <v>0.78594171999014073</v>
      </c>
      <c r="AT101">
        <f t="shared" si="76"/>
        <v>0.71166343482131245</v>
      </c>
      <c r="AU101">
        <f t="shared" si="77"/>
        <v>0.71096023303226497</v>
      </c>
      <c r="AV101">
        <f t="shared" si="78"/>
        <v>-0.73347248184248759</v>
      </c>
      <c r="AW101">
        <f t="shared" si="79"/>
        <v>-1.2451284698385647</v>
      </c>
      <c r="AX101">
        <f t="shared" si="80"/>
        <v>-1.2468236433318656</v>
      </c>
      <c r="AY101">
        <f t="shared" si="81"/>
        <v>-0.94580362249977035</v>
      </c>
      <c r="AZ101">
        <f t="shared" si="82"/>
        <v>-0.88544863030361809</v>
      </c>
      <c r="BA101">
        <f t="shared" si="83"/>
        <v>-0.54380307554291052</v>
      </c>
      <c r="BB101">
        <f t="shared" si="84"/>
        <v>-0.77475467601960346</v>
      </c>
      <c r="BC101">
        <f t="shared" si="85"/>
        <v>-0.96184383314546895</v>
      </c>
      <c r="BD101" t="str">
        <f t="shared" si="86"/>
        <v>C00082</v>
      </c>
    </row>
    <row r="102" spans="1:56" x14ac:dyDescent="0.2">
      <c r="A102" t="s">
        <v>167</v>
      </c>
      <c r="B102">
        <v>465104.53120000003</v>
      </c>
      <c r="C102">
        <v>439097.53120000003</v>
      </c>
      <c r="D102">
        <v>587208.875</v>
      </c>
      <c r="E102">
        <v>442497.1875</v>
      </c>
      <c r="F102">
        <v>704733.3125</v>
      </c>
      <c r="G102">
        <v>889497.6875</v>
      </c>
      <c r="H102">
        <v>553541.5</v>
      </c>
      <c r="I102">
        <v>639848.25</v>
      </c>
      <c r="K102">
        <v>228463.32810000001</v>
      </c>
      <c r="L102">
        <v>224995.2812</v>
      </c>
      <c r="M102">
        <v>40655.664060000003</v>
      </c>
      <c r="N102">
        <v>1060288.875</v>
      </c>
      <c r="O102">
        <v>1561383.625</v>
      </c>
      <c r="P102">
        <v>1849717.75</v>
      </c>
      <c r="Q102">
        <v>697171.5</v>
      </c>
      <c r="R102" s="2"/>
      <c r="S102" s="4" t="s">
        <v>421</v>
      </c>
      <c r="T102">
        <f t="shared" si="51"/>
        <v>5.6675505705705804</v>
      </c>
      <c r="U102">
        <f t="shared" si="52"/>
        <v>5.6425609953161135</v>
      </c>
      <c r="V102">
        <f t="shared" si="53"/>
        <v>5.768792610828994</v>
      </c>
      <c r="W102">
        <f t="shared" si="54"/>
        <v>5.6459105146787882</v>
      </c>
      <c r="X102">
        <f t="shared" si="55"/>
        <v>5.8480248009324711</v>
      </c>
      <c r="Y102">
        <f t="shared" si="56"/>
        <v>5.9491448233504727</v>
      </c>
      <c r="Z102">
        <f t="shared" si="57"/>
        <v>5.7431501862723122</v>
      </c>
      <c r="AA102">
        <f t="shared" si="58"/>
        <v>5.8060769864805835</v>
      </c>
      <c r="AB102" t="e">
        <f t="shared" si="59"/>
        <v>#NUM!</v>
      </c>
      <c r="AC102">
        <f t="shared" si="60"/>
        <v>5.3588164990143605</v>
      </c>
      <c r="AD102">
        <f t="shared" si="61"/>
        <v>5.3521734097989562</v>
      </c>
      <c r="AE102">
        <f t="shared" si="62"/>
        <v>4.6091210591218044</v>
      </c>
      <c r="AF102">
        <f t="shared" si="63"/>
        <v>6.0254242046294815</v>
      </c>
      <c r="AG102">
        <f t="shared" si="64"/>
        <v>6.1935096203921685</v>
      </c>
      <c r="AH102">
        <f t="shared" si="65"/>
        <v>6.2671054640952812</v>
      </c>
      <c r="AI102">
        <f t="shared" si="66"/>
        <v>5.843339625073467</v>
      </c>
      <c r="AJ102">
        <f t="shared" si="67"/>
        <v>0</v>
      </c>
      <c r="AL102" t="e">
        <f t="shared" si="68"/>
        <v>#NUM!</v>
      </c>
      <c r="AM102" t="e">
        <f t="shared" si="69"/>
        <v>#NUM!</v>
      </c>
      <c r="AN102" t="e">
        <f t="shared" si="70"/>
        <v>#NUM!</v>
      </c>
      <c r="AO102" t="e">
        <f t="shared" si="71"/>
        <v>#NUM!</v>
      </c>
      <c r="AP102" t="e">
        <f t="shared" si="72"/>
        <v>#NUM!</v>
      </c>
      <c r="AQ102" t="e">
        <f t="shared" si="73"/>
        <v>#NUM!</v>
      </c>
      <c r="AR102" t="e">
        <f t="shared" si="74"/>
        <v>#NUM!</v>
      </c>
      <c r="AS102" t="e">
        <f t="shared" si="75"/>
        <v>#NUM!</v>
      </c>
      <c r="AT102" t="e">
        <f t="shared" si="76"/>
        <v>#NUM!</v>
      </c>
      <c r="AU102" t="e">
        <f t="shared" si="77"/>
        <v>#NUM!</v>
      </c>
      <c r="AV102" t="e">
        <f t="shared" si="78"/>
        <v>#NUM!</v>
      </c>
      <c r="AW102" t="e">
        <f t="shared" si="79"/>
        <v>#NUM!</v>
      </c>
      <c r="AX102" t="e">
        <f t="shared" si="80"/>
        <v>#NUM!</v>
      </c>
      <c r="AY102" t="e">
        <f t="shared" si="81"/>
        <v>#NUM!</v>
      </c>
      <c r="AZ102" t="e">
        <f t="shared" si="82"/>
        <v>#NUM!</v>
      </c>
      <c r="BA102" t="e">
        <f t="shared" si="83"/>
        <v>#NUM!</v>
      </c>
      <c r="BB102" t="e">
        <f t="shared" si="84"/>
        <v>#NUM!</v>
      </c>
      <c r="BC102" t="e">
        <f t="shared" si="85"/>
        <v>#NUM!</v>
      </c>
      <c r="BD102">
        <f t="shared" si="86"/>
        <v>0</v>
      </c>
    </row>
    <row r="103" spans="1:56" x14ac:dyDescent="0.2">
      <c r="A103" t="s">
        <v>168</v>
      </c>
      <c r="B103">
        <v>669702.6875</v>
      </c>
      <c r="C103">
        <v>859021.5</v>
      </c>
      <c r="D103">
        <v>476642.1875</v>
      </c>
      <c r="E103">
        <v>344830.78120000003</v>
      </c>
      <c r="F103">
        <v>420811.8125</v>
      </c>
      <c r="G103">
        <v>387468.875</v>
      </c>
      <c r="H103">
        <v>281570.375</v>
      </c>
      <c r="I103">
        <v>248140.07810000001</v>
      </c>
      <c r="J103">
        <v>122866.44530000001</v>
      </c>
      <c r="K103">
        <v>93142.140620000006</v>
      </c>
      <c r="L103">
        <v>120923.57030000001</v>
      </c>
      <c r="M103">
        <v>129986.4531</v>
      </c>
      <c r="N103">
        <v>142641.4375</v>
      </c>
      <c r="O103">
        <v>138846.75</v>
      </c>
      <c r="P103">
        <v>208659.42189999999</v>
      </c>
      <c r="Q103">
        <v>131473.45310000001</v>
      </c>
      <c r="R103" s="2" t="s">
        <v>387</v>
      </c>
      <c r="S103" s="4" t="s">
        <v>421</v>
      </c>
      <c r="T103">
        <f t="shared" si="51"/>
        <v>5.8258820417524824</v>
      </c>
      <c r="U103">
        <f t="shared" si="52"/>
        <v>5.9340040336967954</v>
      </c>
      <c r="V103">
        <f t="shared" si="53"/>
        <v>5.678192479025129</v>
      </c>
      <c r="W103">
        <f t="shared" si="54"/>
        <v>5.5376060260292386</v>
      </c>
      <c r="X103">
        <f t="shared" si="55"/>
        <v>5.6240879222853311</v>
      </c>
      <c r="Y103">
        <f t="shared" si="56"/>
        <v>5.588236821787735</v>
      </c>
      <c r="Z103">
        <f t="shared" si="57"/>
        <v>5.4495869592383999</v>
      </c>
      <c r="AA103">
        <f t="shared" si="58"/>
        <v>5.3946969145824362</v>
      </c>
      <c r="AB103">
        <f t="shared" si="59"/>
        <v>5.0894332937021192</v>
      </c>
      <c r="AC103">
        <f t="shared" si="60"/>
        <v>4.9691462147945966</v>
      </c>
      <c r="AD103">
        <f t="shared" si="61"/>
        <v>5.0825109613531012</v>
      </c>
      <c r="AE103">
        <f t="shared" si="62"/>
        <v>5.1138980934569842</v>
      </c>
      <c r="AF103">
        <f t="shared" si="63"/>
        <v>5.1542457068861145</v>
      </c>
      <c r="AG103">
        <f t="shared" si="64"/>
        <v>5.1425357186301355</v>
      </c>
      <c r="AH103">
        <f t="shared" si="65"/>
        <v>5.3194379998159729</v>
      </c>
      <c r="AI103">
        <f t="shared" si="66"/>
        <v>5.1188380696616784</v>
      </c>
      <c r="AJ103" t="str">
        <f t="shared" si="67"/>
        <v>C03665</v>
      </c>
      <c r="AL103">
        <f t="shared" si="68"/>
        <v>5.3763962035436412</v>
      </c>
      <c r="AM103">
        <f t="shared" si="69"/>
        <v>0.29654107132973151</v>
      </c>
      <c r="AN103">
        <f t="shared" si="70"/>
        <v>1.5157625086915751</v>
      </c>
      <c r="AO103">
        <f t="shared" si="71"/>
        <v>1.8803730210212128</v>
      </c>
      <c r="AP103">
        <f t="shared" si="72"/>
        <v>1.017721673858502</v>
      </c>
      <c r="AQ103">
        <f t="shared" si="73"/>
        <v>0.5436340462476581</v>
      </c>
      <c r="AR103">
        <f t="shared" si="74"/>
        <v>0.83526952145618694</v>
      </c>
      <c r="AS103">
        <f t="shared" si="75"/>
        <v>0.7143719326775575</v>
      </c>
      <c r="AT103">
        <f t="shared" si="76"/>
        <v>0.24681490279427765</v>
      </c>
      <c r="AU103">
        <f t="shared" si="77"/>
        <v>6.171391691792303E-2</v>
      </c>
      <c r="AV103">
        <f t="shared" si="78"/>
        <v>-0.96770038819493154</v>
      </c>
      <c r="AW103">
        <f t="shared" si="79"/>
        <v>-1.373334179049394</v>
      </c>
      <c r="AX103">
        <f t="shared" si="80"/>
        <v>-0.99104397536812561</v>
      </c>
      <c r="AY103">
        <f t="shared" si="81"/>
        <v>-0.88519984402018548</v>
      </c>
      <c r="AZ103">
        <f t="shared" si="82"/>
        <v>-0.74913905065956943</v>
      </c>
      <c r="BA103">
        <f t="shared" si="83"/>
        <v>-0.78862763887930509</v>
      </c>
      <c r="BB103">
        <f t="shared" si="84"/>
        <v>-0.19207526118476551</v>
      </c>
      <c r="BC103">
        <f t="shared" si="85"/>
        <v>-0.86854118630864929</v>
      </c>
      <c r="BD103" t="str">
        <f t="shared" si="86"/>
        <v>C03665</v>
      </c>
    </row>
    <row r="104" spans="1:56" x14ac:dyDescent="0.2">
      <c r="A104" t="s">
        <v>169</v>
      </c>
      <c r="B104">
        <v>718197.375</v>
      </c>
      <c r="C104">
        <v>184673.2812</v>
      </c>
      <c r="D104">
        <v>1112770.75</v>
      </c>
      <c r="E104">
        <v>347773.53120000003</v>
      </c>
      <c r="F104">
        <v>542940.375</v>
      </c>
      <c r="G104">
        <v>204656.375</v>
      </c>
      <c r="H104">
        <v>256710.9062</v>
      </c>
      <c r="I104">
        <v>290918.96879999997</v>
      </c>
      <c r="J104">
        <v>784810.875</v>
      </c>
      <c r="K104">
        <v>644648.375</v>
      </c>
      <c r="L104">
        <v>696638.3125</v>
      </c>
      <c r="M104">
        <v>905559.375</v>
      </c>
      <c r="N104">
        <v>1594507.25</v>
      </c>
      <c r="O104">
        <v>820959.25</v>
      </c>
      <c r="P104">
        <v>1696559.25</v>
      </c>
      <c r="Q104">
        <v>1623626.75</v>
      </c>
      <c r="R104" s="2" t="s">
        <v>170</v>
      </c>
      <c r="S104" s="4" t="s">
        <v>421</v>
      </c>
      <c r="T104">
        <f t="shared" si="51"/>
        <v>5.8562438134535206</v>
      </c>
      <c r="U104">
        <f t="shared" si="52"/>
        <v>5.2664040656254505</v>
      </c>
      <c r="V104">
        <f t="shared" si="53"/>
        <v>6.0464057013832084</v>
      </c>
      <c r="W104">
        <f t="shared" si="54"/>
        <v>5.5412965250754933</v>
      </c>
      <c r="X104">
        <f t="shared" si="55"/>
        <v>5.7347521385569902</v>
      </c>
      <c r="Y104">
        <f t="shared" si="56"/>
        <v>5.3110252773673166</v>
      </c>
      <c r="Z104">
        <f t="shared" si="57"/>
        <v>5.4094443197889479</v>
      </c>
      <c r="AA104">
        <f t="shared" si="58"/>
        <v>5.4637720394890312</v>
      </c>
      <c r="AB104">
        <f t="shared" si="59"/>
        <v>5.8947650123634414</v>
      </c>
      <c r="AC104">
        <f t="shared" si="60"/>
        <v>5.8093228922518279</v>
      </c>
      <c r="AD104">
        <f t="shared" si="61"/>
        <v>5.8430073553501689</v>
      </c>
      <c r="AE104">
        <f t="shared" si="62"/>
        <v>5.9569169310603245</v>
      </c>
      <c r="AF104">
        <f t="shared" si="63"/>
        <v>6.2026264982593391</v>
      </c>
      <c r="AG104">
        <f t="shared" si="64"/>
        <v>5.914321600555061</v>
      </c>
      <c r="AH104">
        <f t="shared" si="65"/>
        <v>6.2295690313838605</v>
      </c>
      <c r="AI104">
        <f t="shared" si="66"/>
        <v>6.2104861979062047</v>
      </c>
      <c r="AJ104" t="str">
        <f t="shared" si="67"/>
        <v>C00860</v>
      </c>
      <c r="AL104">
        <f t="shared" si="68"/>
        <v>5.7931474624918859</v>
      </c>
      <c r="AM104">
        <f t="shared" si="69"/>
        <v>0.31490340838598785</v>
      </c>
      <c r="AN104">
        <f t="shared" si="70"/>
        <v>0.20036731671159091</v>
      </c>
      <c r="AO104">
        <f t="shared" si="71"/>
        <v>-1.6727141810443287</v>
      </c>
      <c r="AP104">
        <f t="shared" si="72"/>
        <v>0.80424102168146505</v>
      </c>
      <c r="AQ104">
        <f t="shared" si="73"/>
        <v>-0.79977202757897858</v>
      </c>
      <c r="AR104">
        <f t="shared" si="74"/>
        <v>-0.18543884372098834</v>
      </c>
      <c r="AS104">
        <f t="shared" si="75"/>
        <v>-1.5310160902851067</v>
      </c>
      <c r="AT104">
        <f t="shared" si="76"/>
        <v>-1.2184788493385248</v>
      </c>
      <c r="AU104">
        <f t="shared" si="77"/>
        <v>-1.0459569958008459</v>
      </c>
      <c r="AV104">
        <f t="shared" si="78"/>
        <v>0.32269434742668573</v>
      </c>
      <c r="AW104">
        <f t="shared" si="79"/>
        <v>5.1366321637634133E-2</v>
      </c>
      <c r="AX104">
        <f t="shared" si="80"/>
        <v>0.15833392567529148</v>
      </c>
      <c r="AY104">
        <f t="shared" si="81"/>
        <v>0.52006254682293152</v>
      </c>
      <c r="AZ104">
        <f t="shared" si="82"/>
        <v>1.3003321807985664</v>
      </c>
      <c r="BA104">
        <f t="shared" si="83"/>
        <v>0.38479779778898976</v>
      </c>
      <c r="BB104">
        <f t="shared" si="84"/>
        <v>1.3858902675230425</v>
      </c>
      <c r="BC104">
        <f t="shared" si="85"/>
        <v>1.325291261702612</v>
      </c>
      <c r="BD104" t="str">
        <f t="shared" si="86"/>
        <v>C00860</v>
      </c>
    </row>
    <row r="105" spans="1:56" x14ac:dyDescent="0.2">
      <c r="A105" t="s">
        <v>171</v>
      </c>
      <c r="B105">
        <v>28992232</v>
      </c>
      <c r="C105">
        <v>22144252</v>
      </c>
      <c r="D105">
        <v>15067156</v>
      </c>
      <c r="E105">
        <v>8251983.5</v>
      </c>
      <c r="F105">
        <v>12665244</v>
      </c>
      <c r="G105">
        <v>7785948</v>
      </c>
      <c r="H105">
        <v>8043516</v>
      </c>
      <c r="I105">
        <v>7231687</v>
      </c>
      <c r="J105">
        <v>116018.08590000001</v>
      </c>
      <c r="K105">
        <v>69038.78125</v>
      </c>
      <c r="L105">
        <v>76629.96875</v>
      </c>
      <c r="M105">
        <v>125972.50780000001</v>
      </c>
      <c r="N105">
        <v>1198017.875</v>
      </c>
      <c r="O105">
        <v>2220858.75</v>
      </c>
      <c r="P105">
        <v>905573.3125</v>
      </c>
      <c r="Q105">
        <v>499397.5</v>
      </c>
      <c r="R105" s="2" t="s">
        <v>172</v>
      </c>
      <c r="S105" s="4" t="s">
        <v>421</v>
      </c>
      <c r="T105">
        <f t="shared" si="51"/>
        <v>7.4622816512973769</v>
      </c>
      <c r="U105">
        <f t="shared" si="52"/>
        <v>7.3452610150448496</v>
      </c>
      <c r="V105">
        <f t="shared" si="53"/>
        <v>7.1780312848250523</v>
      </c>
      <c r="W105">
        <f t="shared" si="54"/>
        <v>6.9165583509217976</v>
      </c>
      <c r="X105">
        <f t="shared" si="55"/>
        <v>7.1026135610300667</v>
      </c>
      <c r="Y105">
        <f t="shared" si="56"/>
        <v>6.8913114988698814</v>
      </c>
      <c r="Z105">
        <f t="shared" si="57"/>
        <v>6.905445930043399</v>
      </c>
      <c r="AA105">
        <f t="shared" si="58"/>
        <v>6.8592396208530193</v>
      </c>
      <c r="AB105">
        <f t="shared" si="59"/>
        <v>5.0645256960744751</v>
      </c>
      <c r="AC105">
        <f t="shared" si="60"/>
        <v>4.8390931161215267</v>
      </c>
      <c r="AD105">
        <f t="shared" si="61"/>
        <v>4.8843986484497393</v>
      </c>
      <c r="AE105">
        <f t="shared" si="62"/>
        <v>5.100275775168992</v>
      </c>
      <c r="AF105">
        <f t="shared" si="63"/>
        <v>6.0784632979831335</v>
      </c>
      <c r="AG105">
        <f t="shared" si="64"/>
        <v>6.3465209376361296</v>
      </c>
      <c r="AH105">
        <f t="shared" si="65"/>
        <v>5.956923615252359</v>
      </c>
      <c r="AI105">
        <f t="shared" si="66"/>
        <v>5.6984463639285803</v>
      </c>
      <c r="AJ105" t="str">
        <f t="shared" si="67"/>
        <v>C01234</v>
      </c>
      <c r="AL105">
        <f t="shared" si="68"/>
        <v>6.2893368977187736</v>
      </c>
      <c r="AM105">
        <f t="shared" si="69"/>
        <v>0.92738365496771513</v>
      </c>
      <c r="AN105">
        <f t="shared" si="70"/>
        <v>1.2647891164519574</v>
      </c>
      <c r="AO105">
        <f t="shared" si="71"/>
        <v>1.1386054861650929</v>
      </c>
      <c r="AP105">
        <f t="shared" si="72"/>
        <v>0.95828127048154266</v>
      </c>
      <c r="AQ105">
        <f t="shared" si="73"/>
        <v>0.67633438420354663</v>
      </c>
      <c r="AR105">
        <f t="shared" si="74"/>
        <v>0.87695815960828594</v>
      </c>
      <c r="AS105">
        <f t="shared" si="75"/>
        <v>0.64911064361174686</v>
      </c>
      <c r="AT105">
        <f t="shared" si="76"/>
        <v>0.66435183435066469</v>
      </c>
      <c r="AU105">
        <f t="shared" si="77"/>
        <v>0.6145274612954934</v>
      </c>
      <c r="AV105">
        <f t="shared" si="78"/>
        <v>-1.3207168307133228</v>
      </c>
      <c r="AW105">
        <f t="shared" si="79"/>
        <v>-1.5638013176410079</v>
      </c>
      <c r="AX105">
        <f t="shared" si="80"/>
        <v>-1.5149482544179025</v>
      </c>
      <c r="AY105">
        <f t="shared" si="81"/>
        <v>-1.2821674354301362</v>
      </c>
      <c r="AZ105">
        <f t="shared" si="82"/>
        <v>-0.22738550394548548</v>
      </c>
      <c r="BA105">
        <f t="shared" si="83"/>
        <v>6.1661686197549741E-2</v>
      </c>
      <c r="BB105">
        <f t="shared" si="84"/>
        <v>-0.35844203279384607</v>
      </c>
      <c r="BC105">
        <f t="shared" si="85"/>
        <v>-0.63715866742417826</v>
      </c>
      <c r="BD105" t="str">
        <f t="shared" si="86"/>
        <v>C01234</v>
      </c>
    </row>
    <row r="106" spans="1:56" x14ac:dyDescent="0.2">
      <c r="A106" t="s">
        <v>173</v>
      </c>
      <c r="B106">
        <v>124921.22659999999</v>
      </c>
      <c r="C106">
        <v>114272.7969</v>
      </c>
      <c r="D106">
        <v>92475.414059999996</v>
      </c>
      <c r="E106">
        <v>79755.820309999996</v>
      </c>
      <c r="F106">
        <v>119734.8125</v>
      </c>
      <c r="G106">
        <v>80607.554690000004</v>
      </c>
      <c r="H106">
        <v>69714.117190000004</v>
      </c>
      <c r="I106">
        <v>85444.851559999996</v>
      </c>
      <c r="J106">
        <v>106949.2188</v>
      </c>
      <c r="K106">
        <v>76546.710940000004</v>
      </c>
      <c r="L106">
        <v>74301.734379999994</v>
      </c>
      <c r="M106">
        <v>89559.734379999994</v>
      </c>
      <c r="N106">
        <v>114543.11719999999</v>
      </c>
      <c r="O106">
        <v>93710.148440000004</v>
      </c>
      <c r="P106">
        <v>127111.96090000001</v>
      </c>
      <c r="Q106">
        <v>142743.7812</v>
      </c>
      <c r="R106" s="2"/>
      <c r="S106" s="4" t="s">
        <v>421</v>
      </c>
      <c r="T106">
        <f t="shared" si="51"/>
        <v>5.0966362399113168</v>
      </c>
      <c r="U106">
        <f t="shared" si="52"/>
        <v>5.0579428571467</v>
      </c>
      <c r="V106">
        <f t="shared" si="53"/>
        <v>4.9660262845515906</v>
      </c>
      <c r="W106">
        <f t="shared" si="54"/>
        <v>4.9017623862280422</v>
      </c>
      <c r="X106">
        <f t="shared" si="55"/>
        <v>5.0782204384478193</v>
      </c>
      <c r="Y106">
        <f t="shared" si="56"/>
        <v>4.9063757465994557</v>
      </c>
      <c r="Z106">
        <f t="shared" si="57"/>
        <v>4.8433207321425709</v>
      </c>
      <c r="AA106">
        <f t="shared" si="58"/>
        <v>4.9316858996320185</v>
      </c>
      <c r="AB106">
        <f t="shared" si="59"/>
        <v>5.0291776166580062</v>
      </c>
      <c r="AC106">
        <f t="shared" si="60"/>
        <v>4.8839265346646341</v>
      </c>
      <c r="AD106">
        <f t="shared" si="61"/>
        <v>4.870998951349705</v>
      </c>
      <c r="AE106">
        <f t="shared" si="62"/>
        <v>4.9521127968601935</v>
      </c>
      <c r="AF106">
        <f t="shared" si="63"/>
        <v>5.0589689979176784</v>
      </c>
      <c r="AG106">
        <f t="shared" si="64"/>
        <v>4.971786625816601</v>
      </c>
      <c r="AH106">
        <f t="shared" si="65"/>
        <v>5.1041864184412153</v>
      </c>
      <c r="AI106">
        <f t="shared" si="66"/>
        <v>5.1545571967823003</v>
      </c>
      <c r="AJ106">
        <f t="shared" si="67"/>
        <v>0</v>
      </c>
      <c r="AL106">
        <f t="shared" si="68"/>
        <v>4.9879803576968662</v>
      </c>
      <c r="AM106">
        <f t="shared" si="69"/>
        <v>9.5764742799719971E-2</v>
      </c>
      <c r="AN106">
        <f t="shared" si="70"/>
        <v>1.1346125832728522</v>
      </c>
      <c r="AO106">
        <f t="shared" si="71"/>
        <v>0.73056635881277987</v>
      </c>
      <c r="AP106">
        <f t="shared" si="72"/>
        <v>-0.229250061175331</v>
      </c>
      <c r="AQ106">
        <f t="shared" si="73"/>
        <v>-0.90031016581058632</v>
      </c>
      <c r="AR106">
        <f t="shared" si="74"/>
        <v>0.94231006227081948</v>
      </c>
      <c r="AS106">
        <f t="shared" si="75"/>
        <v>-0.85213627386935442</v>
      </c>
      <c r="AT106">
        <f t="shared" si="76"/>
        <v>-1.5105729031908217</v>
      </c>
      <c r="AU106">
        <f t="shared" si="77"/>
        <v>-0.58784116595583114</v>
      </c>
      <c r="AV106">
        <f t="shared" si="78"/>
        <v>0.43019234173999665</v>
      </c>
      <c r="AW106">
        <f t="shared" si="79"/>
        <v>-1.0865567012470101</v>
      </c>
      <c r="AX106">
        <f t="shared" si="80"/>
        <v>-1.2215498410705627</v>
      </c>
      <c r="AY106">
        <f t="shared" si="81"/>
        <v>-0.37453826730037054</v>
      </c>
      <c r="AZ106">
        <f t="shared" si="82"/>
        <v>0.74128158386303078</v>
      </c>
      <c r="BA106">
        <f t="shared" si="83"/>
        <v>-0.16909910063803288</v>
      </c>
      <c r="BB106">
        <f t="shared" si="84"/>
        <v>1.2134534834743893</v>
      </c>
      <c r="BC106">
        <f t="shared" si="85"/>
        <v>1.7394380668239122</v>
      </c>
      <c r="BD106">
        <f t="shared" si="86"/>
        <v>0</v>
      </c>
    </row>
    <row r="107" spans="1:56" x14ac:dyDescent="0.2">
      <c r="A107" t="s">
        <v>174</v>
      </c>
      <c r="B107">
        <v>201839.1562</v>
      </c>
      <c r="C107">
        <v>179559.85939999999</v>
      </c>
      <c r="D107">
        <v>117124.9375</v>
      </c>
      <c r="E107">
        <v>137369.20310000001</v>
      </c>
      <c r="F107">
        <v>294604.84379999997</v>
      </c>
      <c r="G107">
        <v>186246.0938</v>
      </c>
      <c r="H107">
        <v>149861.5312</v>
      </c>
      <c r="I107">
        <v>165801.7812</v>
      </c>
      <c r="J107">
        <v>52100.261720000002</v>
      </c>
      <c r="L107">
        <v>31436.931639999999</v>
      </c>
      <c r="M107">
        <v>32693.95508</v>
      </c>
      <c r="N107">
        <v>269008.71879999997</v>
      </c>
      <c r="O107">
        <v>415274.09379999997</v>
      </c>
      <c r="P107">
        <v>399175.46879999997</v>
      </c>
      <c r="Q107">
        <v>244896.42189999999</v>
      </c>
      <c r="R107" s="2"/>
      <c r="S107" s="4" t="s">
        <v>421</v>
      </c>
      <c r="T107">
        <f t="shared" si="51"/>
        <v>5.3050054219206864</v>
      </c>
      <c r="U107">
        <f t="shared" si="52"/>
        <v>5.2542092566659706</v>
      </c>
      <c r="V107">
        <f t="shared" si="53"/>
        <v>5.0686493721484505</v>
      </c>
      <c r="W107">
        <f t="shared" si="54"/>
        <v>5.1378893788451867</v>
      </c>
      <c r="X107">
        <f t="shared" si="55"/>
        <v>5.4692398830983215</v>
      </c>
      <c r="Y107">
        <f t="shared" si="56"/>
        <v>5.2700871729161953</v>
      </c>
      <c r="Z107">
        <f t="shared" si="57"/>
        <v>5.1756901656590752</v>
      </c>
      <c r="AA107">
        <f t="shared" si="58"/>
        <v>5.2195891918425774</v>
      </c>
      <c r="AB107">
        <f t="shared" si="59"/>
        <v>4.7168399049361138</v>
      </c>
      <c r="AC107" t="e">
        <f t="shared" si="60"/>
        <v>#NUM!</v>
      </c>
      <c r="AD107">
        <f t="shared" si="61"/>
        <v>4.4974401506992301</v>
      </c>
      <c r="AE107">
        <f t="shared" si="62"/>
        <v>4.5144674615873939</v>
      </c>
      <c r="AF107">
        <f t="shared" si="63"/>
        <v>5.429766356081835</v>
      </c>
      <c r="AG107">
        <f t="shared" si="64"/>
        <v>5.6183348391988863</v>
      </c>
      <c r="AH107">
        <f t="shared" si="65"/>
        <v>5.6011638440077443</v>
      </c>
      <c r="AI107">
        <f t="shared" si="66"/>
        <v>5.3889824398391371</v>
      </c>
      <c r="AJ107">
        <f t="shared" si="67"/>
        <v>0</v>
      </c>
      <c r="AL107" t="e">
        <f t="shared" si="68"/>
        <v>#NUM!</v>
      </c>
      <c r="AM107" t="e">
        <f t="shared" si="69"/>
        <v>#NUM!</v>
      </c>
      <c r="AN107" t="e">
        <f t="shared" si="70"/>
        <v>#NUM!</v>
      </c>
      <c r="AO107" t="e">
        <f t="shared" si="71"/>
        <v>#NUM!</v>
      </c>
      <c r="AP107" t="e">
        <f t="shared" si="72"/>
        <v>#NUM!</v>
      </c>
      <c r="AQ107" t="e">
        <f t="shared" si="73"/>
        <v>#NUM!</v>
      </c>
      <c r="AR107" t="e">
        <f t="shared" si="74"/>
        <v>#NUM!</v>
      </c>
      <c r="AS107" t="e">
        <f t="shared" si="75"/>
        <v>#NUM!</v>
      </c>
      <c r="AT107" t="e">
        <f t="shared" si="76"/>
        <v>#NUM!</v>
      </c>
      <c r="AU107" t="e">
        <f t="shared" si="77"/>
        <v>#NUM!</v>
      </c>
      <c r="AV107" t="e">
        <f t="shared" si="78"/>
        <v>#NUM!</v>
      </c>
      <c r="AW107" t="e">
        <f t="shared" si="79"/>
        <v>#NUM!</v>
      </c>
      <c r="AX107" t="e">
        <f t="shared" si="80"/>
        <v>#NUM!</v>
      </c>
      <c r="AY107" t="e">
        <f t="shared" si="81"/>
        <v>#NUM!</v>
      </c>
      <c r="AZ107" t="e">
        <f t="shared" si="82"/>
        <v>#NUM!</v>
      </c>
      <c r="BA107" t="e">
        <f t="shared" si="83"/>
        <v>#NUM!</v>
      </c>
      <c r="BB107" t="e">
        <f t="shared" si="84"/>
        <v>#NUM!</v>
      </c>
      <c r="BC107" t="e">
        <f t="shared" si="85"/>
        <v>#NUM!</v>
      </c>
      <c r="BD107">
        <f t="shared" si="86"/>
        <v>0</v>
      </c>
    </row>
    <row r="108" spans="1:56" x14ac:dyDescent="0.2">
      <c r="A108" t="s">
        <v>175</v>
      </c>
      <c r="B108">
        <v>347132064</v>
      </c>
      <c r="C108">
        <v>312269888</v>
      </c>
      <c r="D108">
        <v>158420416</v>
      </c>
      <c r="E108">
        <v>208266032</v>
      </c>
      <c r="F108">
        <v>294259328</v>
      </c>
      <c r="G108">
        <v>228595200</v>
      </c>
      <c r="H108">
        <v>243064992</v>
      </c>
      <c r="I108">
        <v>230743504</v>
      </c>
      <c r="J108">
        <v>25335338</v>
      </c>
      <c r="K108">
        <v>15069765</v>
      </c>
      <c r="L108">
        <v>18673900</v>
      </c>
      <c r="M108">
        <v>28408378</v>
      </c>
      <c r="N108">
        <v>54284528</v>
      </c>
      <c r="O108">
        <v>69484440</v>
      </c>
      <c r="P108">
        <v>59133620</v>
      </c>
      <c r="Q108">
        <v>50109124</v>
      </c>
      <c r="R108" s="2" t="s">
        <v>388</v>
      </c>
      <c r="S108" s="4" t="s">
        <v>421</v>
      </c>
      <c r="T108">
        <f t="shared" si="51"/>
        <v>8.5404947305689163</v>
      </c>
      <c r="U108">
        <f t="shared" si="52"/>
        <v>8.4945301074900588</v>
      </c>
      <c r="V108">
        <f t="shared" si="53"/>
        <v>8.1998111493796824</v>
      </c>
      <c r="W108">
        <f t="shared" si="54"/>
        <v>8.318618442689349</v>
      </c>
      <c r="X108">
        <f t="shared" si="55"/>
        <v>8.468730238838214</v>
      </c>
      <c r="Y108">
        <f t="shared" si="56"/>
        <v>8.3590671069192837</v>
      </c>
      <c r="Z108">
        <f t="shared" si="57"/>
        <v>8.3857224130759569</v>
      </c>
      <c r="AA108">
        <f t="shared" si="58"/>
        <v>8.3631294834068743</v>
      </c>
      <c r="AB108">
        <f t="shared" si="59"/>
        <v>7.4037267026095481</v>
      </c>
      <c r="AC108">
        <f t="shared" si="60"/>
        <v>7.1781064799192098</v>
      </c>
      <c r="AD108">
        <f t="shared" si="61"/>
        <v>7.2712350288006808</v>
      </c>
      <c r="AE108">
        <f t="shared" si="62"/>
        <v>7.4534464380256757</v>
      </c>
      <c r="AF108">
        <f t="shared" si="63"/>
        <v>7.7346760660215459</v>
      </c>
      <c r="AG108">
        <f t="shared" si="64"/>
        <v>7.8418875617308892</v>
      </c>
      <c r="AH108">
        <f t="shared" si="65"/>
        <v>7.7718344661444165</v>
      </c>
      <c r="AI108">
        <f t="shared" si="66"/>
        <v>7.6999168105394924</v>
      </c>
      <c r="AJ108" t="str">
        <f t="shared" si="67"/>
        <v>C01157</v>
      </c>
      <c r="AL108">
        <f t="shared" si="68"/>
        <v>7.9678083266349864</v>
      </c>
      <c r="AM108">
        <f t="shared" si="69"/>
        <v>0.47533943662894995</v>
      </c>
      <c r="AN108">
        <f t="shared" si="70"/>
        <v>1.2047946368501483</v>
      </c>
      <c r="AO108">
        <f t="shared" si="71"/>
        <v>1.1080961104143174</v>
      </c>
      <c r="AP108">
        <f t="shared" si="72"/>
        <v>0.48807821288726233</v>
      </c>
      <c r="AQ108">
        <f t="shared" si="73"/>
        <v>0.73802022096518172</v>
      </c>
      <c r="AR108">
        <f t="shared" si="74"/>
        <v>1.0538193837980401</v>
      </c>
      <c r="AS108">
        <f t="shared" si="75"/>
        <v>0.82311449489454824</v>
      </c>
      <c r="AT108">
        <f t="shared" si="76"/>
        <v>0.87919085654825291</v>
      </c>
      <c r="AU108">
        <f t="shared" si="77"/>
        <v>0.83166075925754868</v>
      </c>
      <c r="AV108">
        <f t="shared" si="78"/>
        <v>-1.1866922467570484</v>
      </c>
      <c r="AW108">
        <f t="shared" si="79"/>
        <v>-1.6613430022054281</v>
      </c>
      <c r="AX108">
        <f t="shared" si="80"/>
        <v>-1.4654229044707914</v>
      </c>
      <c r="AY108">
        <f t="shared" si="81"/>
        <v>-1.0820938659268484</v>
      </c>
      <c r="AZ108">
        <f t="shared" si="82"/>
        <v>-0.49045427887655696</v>
      </c>
      <c r="BA108">
        <f t="shared" si="83"/>
        <v>-0.26490704368463958</v>
      </c>
      <c r="BB108">
        <f t="shared" si="84"/>
        <v>-0.41228193031992649</v>
      </c>
      <c r="BC108">
        <f t="shared" si="85"/>
        <v>-0.563579403374036</v>
      </c>
      <c r="BD108" t="str">
        <f t="shared" si="86"/>
        <v>C01157</v>
      </c>
    </row>
    <row r="109" spans="1:56" x14ac:dyDescent="0.2">
      <c r="A109" t="s">
        <v>176</v>
      </c>
      <c r="B109">
        <v>74292984</v>
      </c>
      <c r="C109">
        <v>37424408</v>
      </c>
      <c r="D109">
        <v>85205464</v>
      </c>
      <c r="E109">
        <v>46280880</v>
      </c>
      <c r="F109">
        <v>65570976</v>
      </c>
      <c r="G109">
        <v>45739772</v>
      </c>
      <c r="H109">
        <v>48100160</v>
      </c>
      <c r="I109">
        <v>49733988</v>
      </c>
      <c r="J109">
        <v>24958180</v>
      </c>
      <c r="K109">
        <v>15403043</v>
      </c>
      <c r="L109">
        <v>18007964</v>
      </c>
      <c r="M109">
        <v>17628396</v>
      </c>
      <c r="N109">
        <v>40263308</v>
      </c>
      <c r="O109">
        <v>38713616</v>
      </c>
      <c r="P109">
        <v>41003948</v>
      </c>
      <c r="Q109">
        <v>42688256</v>
      </c>
      <c r="R109" s="2"/>
      <c r="S109" s="4" t="s">
        <v>421</v>
      </c>
      <c r="T109">
        <f t="shared" si="51"/>
        <v>7.8709478022672288</v>
      </c>
      <c r="U109">
        <f t="shared" si="52"/>
        <v>7.5731549391589308</v>
      </c>
      <c r="V109">
        <f t="shared" si="53"/>
        <v>7.9304674458108417</v>
      </c>
      <c r="W109">
        <f t="shared" si="54"/>
        <v>7.6654016081775209</v>
      </c>
      <c r="X109">
        <f t="shared" si="55"/>
        <v>7.8167116480291767</v>
      </c>
      <c r="Y109">
        <f t="shared" si="56"/>
        <v>7.6602939954393205</v>
      </c>
      <c r="Z109">
        <f t="shared" si="57"/>
        <v>7.6821465210100381</v>
      </c>
      <c r="AA109">
        <f t="shared" si="58"/>
        <v>7.6966532852316565</v>
      </c>
      <c r="AB109">
        <f t="shared" si="59"/>
        <v>7.3972129125498212</v>
      </c>
      <c r="AC109">
        <f t="shared" si="60"/>
        <v>7.1876065278207104</v>
      </c>
      <c r="AD109">
        <f t="shared" si="61"/>
        <v>7.2554646137884999</v>
      </c>
      <c r="AE109">
        <f t="shared" si="62"/>
        <v>7.2462127978330679</v>
      </c>
      <c r="AF109">
        <f t="shared" si="63"/>
        <v>7.6049094532930157</v>
      </c>
      <c r="AG109">
        <f t="shared" si="64"/>
        <v>7.5878637379813982</v>
      </c>
      <c r="AH109">
        <f t="shared" si="65"/>
        <v>7.6128256740872571</v>
      </c>
      <c r="AI109">
        <f t="shared" si="66"/>
        <v>7.6303084123572855</v>
      </c>
      <c r="AJ109">
        <f t="shared" si="67"/>
        <v>0</v>
      </c>
      <c r="AL109">
        <f t="shared" si="68"/>
        <v>7.5886363359272355</v>
      </c>
      <c r="AM109">
        <f t="shared" si="69"/>
        <v>0.2173412131130153</v>
      </c>
      <c r="AN109">
        <f t="shared" si="70"/>
        <v>1.2989320446702122</v>
      </c>
      <c r="AO109">
        <f t="shared" si="71"/>
        <v>-7.1230838121137008E-2</v>
      </c>
      <c r="AP109">
        <f t="shared" si="72"/>
        <v>1.5727855061978393</v>
      </c>
      <c r="AQ109">
        <f t="shared" si="73"/>
        <v>0.35320163695952234</v>
      </c>
      <c r="AR109">
        <f t="shared" si="74"/>
        <v>1.0493882353704553</v>
      </c>
      <c r="AS109">
        <f t="shared" si="75"/>
        <v>0.32970120340141723</v>
      </c>
      <c r="AT109">
        <f t="shared" si="76"/>
        <v>0.4302459885239448</v>
      </c>
      <c r="AU109">
        <f t="shared" si="77"/>
        <v>0.49699248364944576</v>
      </c>
      <c r="AV109">
        <f t="shared" si="78"/>
        <v>-0.88075068982833027</v>
      </c>
      <c r="AW109">
        <f t="shared" si="79"/>
        <v>-1.845162278992128</v>
      </c>
      <c r="AX109">
        <f t="shared" si="80"/>
        <v>-1.5329431421066448</v>
      </c>
      <c r="AY109">
        <f t="shared" si="81"/>
        <v>-1.5755113040438893</v>
      </c>
      <c r="AZ109">
        <f t="shared" si="82"/>
        <v>7.4873592231761057E-2</v>
      </c>
      <c r="BA109">
        <f t="shared" si="83"/>
        <v>-3.5547696397348256E-3</v>
      </c>
      <c r="BB109">
        <f t="shared" si="84"/>
        <v>0.11129660046317739</v>
      </c>
      <c r="BC109">
        <f t="shared" si="85"/>
        <v>0.19173573126409729</v>
      </c>
      <c r="BD109">
        <f t="shared" si="86"/>
        <v>0</v>
      </c>
    </row>
    <row r="110" spans="1:56" x14ac:dyDescent="0.2">
      <c r="A110" t="s">
        <v>177</v>
      </c>
      <c r="B110">
        <v>146897568</v>
      </c>
      <c r="C110">
        <v>112658272</v>
      </c>
      <c r="D110">
        <v>143740768</v>
      </c>
      <c r="E110">
        <v>97435480</v>
      </c>
      <c r="F110">
        <v>107738896</v>
      </c>
      <c r="G110">
        <v>76235632</v>
      </c>
      <c r="H110">
        <v>81569416</v>
      </c>
      <c r="I110">
        <v>90333552</v>
      </c>
      <c r="J110">
        <v>63816820</v>
      </c>
      <c r="K110">
        <v>45064048</v>
      </c>
      <c r="L110">
        <v>50844764</v>
      </c>
      <c r="M110">
        <v>62308388</v>
      </c>
      <c r="N110">
        <v>68570552</v>
      </c>
      <c r="O110">
        <v>71597600</v>
      </c>
      <c r="P110">
        <v>88893064</v>
      </c>
      <c r="Q110">
        <v>74499104</v>
      </c>
      <c r="R110" s="2" t="s">
        <v>178</v>
      </c>
      <c r="S110" s="4" t="s">
        <v>421</v>
      </c>
      <c r="T110">
        <f t="shared" si="51"/>
        <v>8.1670146057771653</v>
      </c>
      <c r="U110">
        <f t="shared" si="52"/>
        <v>8.0517630855588376</v>
      </c>
      <c r="V110">
        <f t="shared" si="53"/>
        <v>8.1575799609414261</v>
      </c>
      <c r="W110">
        <f t="shared" si="54"/>
        <v>7.988717128977334</v>
      </c>
      <c r="X110">
        <f t="shared" si="55"/>
        <v>8.0323725210190648</v>
      </c>
      <c r="Y110">
        <f t="shared" si="56"/>
        <v>7.8821580049880717</v>
      </c>
      <c r="Z110">
        <f t="shared" si="57"/>
        <v>7.9115273529668979</v>
      </c>
      <c r="AA110">
        <f t="shared" si="58"/>
        <v>7.9558490874345784</v>
      </c>
      <c r="AB110">
        <f t="shared" si="59"/>
        <v>7.8049351594491405</v>
      </c>
      <c r="AC110">
        <f t="shared" si="60"/>
        <v>7.6538302008165902</v>
      </c>
      <c r="AD110">
        <f t="shared" si="61"/>
        <v>7.7062462358626993</v>
      </c>
      <c r="AE110">
        <f t="shared" si="62"/>
        <v>7.7945465156302909</v>
      </c>
      <c r="AF110">
        <f t="shared" si="63"/>
        <v>7.836137645594718</v>
      </c>
      <c r="AG110">
        <f t="shared" si="64"/>
        <v>7.8548984647069364</v>
      </c>
      <c r="AH110">
        <f t="shared" si="65"/>
        <v>7.9488678758853828</v>
      </c>
      <c r="AI110">
        <f t="shared" si="66"/>
        <v>7.872151049524188</v>
      </c>
      <c r="AJ110" t="str">
        <f t="shared" si="67"/>
        <v>C00041</v>
      </c>
      <c r="AL110">
        <f t="shared" si="68"/>
        <v>7.9136621809458321</v>
      </c>
      <c r="AM110">
        <f t="shared" si="69"/>
        <v>0.14473593706538321</v>
      </c>
      <c r="AN110">
        <f t="shared" si="70"/>
        <v>1.7504458807413081</v>
      </c>
      <c r="AO110">
        <f t="shared" si="71"/>
        <v>0.95415767094954185</v>
      </c>
      <c r="AP110">
        <f t="shared" si="72"/>
        <v>1.6852606542727968</v>
      </c>
      <c r="AQ110">
        <f t="shared" si="73"/>
        <v>0.51856470171327596</v>
      </c>
      <c r="AR110">
        <f t="shared" si="74"/>
        <v>0.82018566003829729</v>
      </c>
      <c r="AS110">
        <f t="shared" si="75"/>
        <v>-0.2176665767778779</v>
      </c>
      <c r="AT110">
        <f t="shared" si="76"/>
        <v>-1.4749812812347853E-2</v>
      </c>
      <c r="AU110">
        <f t="shared" si="77"/>
        <v>0.29147499469802568</v>
      </c>
      <c r="AV110">
        <f t="shared" si="78"/>
        <v>-0.75120957311089276</v>
      </c>
      <c r="AW110">
        <f t="shared" si="79"/>
        <v>-1.795213997280199</v>
      </c>
      <c r="AX110">
        <f t="shared" si="80"/>
        <v>-1.4330645815312226</v>
      </c>
      <c r="AY110">
        <f t="shared" si="81"/>
        <v>-0.82298610649635495</v>
      </c>
      <c r="AZ110">
        <f t="shared" si="82"/>
        <v>-0.53562741170558759</v>
      </c>
      <c r="BA110">
        <f t="shared" si="83"/>
        <v>-0.40600639640968811</v>
      </c>
      <c r="BB110">
        <f t="shared" si="84"/>
        <v>0.24324086784090709</v>
      </c>
      <c r="BC110">
        <f t="shared" si="85"/>
        <v>-0.28680597412992043</v>
      </c>
      <c r="BD110" t="str">
        <f t="shared" si="86"/>
        <v>C00041</v>
      </c>
    </row>
    <row r="111" spans="1:56" x14ac:dyDescent="0.2">
      <c r="A111" t="s">
        <v>179</v>
      </c>
      <c r="B111">
        <v>335500.375</v>
      </c>
      <c r="C111">
        <v>461540.25</v>
      </c>
      <c r="D111">
        <v>418555.5625</v>
      </c>
      <c r="E111">
        <v>260840.10939999999</v>
      </c>
      <c r="F111">
        <v>199778.14060000001</v>
      </c>
      <c r="G111">
        <v>285912.75</v>
      </c>
      <c r="H111">
        <v>238321.625</v>
      </c>
      <c r="I111">
        <v>332576.03120000003</v>
      </c>
      <c r="J111">
        <v>1476585.375</v>
      </c>
      <c r="K111">
        <v>418989.1875</v>
      </c>
      <c r="L111">
        <v>247184.5625</v>
      </c>
      <c r="M111">
        <v>549307.5</v>
      </c>
      <c r="N111">
        <v>457041.09379999997</v>
      </c>
      <c r="O111">
        <v>311245.625</v>
      </c>
      <c r="P111">
        <v>422985.90620000003</v>
      </c>
      <c r="Q111">
        <v>417566.75</v>
      </c>
      <c r="R111" s="2" t="s">
        <v>180</v>
      </c>
      <c r="S111" s="4" t="s">
        <v>421</v>
      </c>
      <c r="T111">
        <f t="shared" si="51"/>
        <v>5.5256930099307624</v>
      </c>
      <c r="U111">
        <f t="shared" si="52"/>
        <v>5.6642095809646635</v>
      </c>
      <c r="V111">
        <f t="shared" si="53"/>
        <v>5.6217531179695186</v>
      </c>
      <c r="W111">
        <f t="shared" si="54"/>
        <v>5.4163743736846568</v>
      </c>
      <c r="X111">
        <f t="shared" si="55"/>
        <v>5.3005479666919859</v>
      </c>
      <c r="Y111">
        <f t="shared" si="56"/>
        <v>5.4562335227283221</v>
      </c>
      <c r="Z111">
        <f t="shared" si="57"/>
        <v>5.3771634514612972</v>
      </c>
      <c r="AA111">
        <f t="shared" si="58"/>
        <v>5.5218909463486945</v>
      </c>
      <c r="AB111">
        <f t="shared" si="59"/>
        <v>6.1692585625909482</v>
      </c>
      <c r="AC111">
        <f t="shared" si="60"/>
        <v>5.6222028156401009</v>
      </c>
      <c r="AD111">
        <f t="shared" si="61"/>
        <v>5.3930213441254482</v>
      </c>
      <c r="AE111">
        <f t="shared" si="62"/>
        <v>5.7398155287253054</v>
      </c>
      <c r="AF111">
        <f t="shared" si="63"/>
        <v>5.6599552504160844</v>
      </c>
      <c r="AG111">
        <f t="shared" si="64"/>
        <v>5.493103255519979</v>
      </c>
      <c r="AH111">
        <f t="shared" si="65"/>
        <v>5.6263258970167902</v>
      </c>
      <c r="AI111">
        <f t="shared" si="66"/>
        <v>5.6207259093753512</v>
      </c>
      <c r="AJ111" t="str">
        <f t="shared" si="67"/>
        <v>C00089</v>
      </c>
      <c r="AL111">
        <f t="shared" si="68"/>
        <v>5.5755171583243701</v>
      </c>
      <c r="AM111">
        <f t="shared" si="69"/>
        <v>0.20056983347385141</v>
      </c>
      <c r="AN111">
        <f t="shared" si="70"/>
        <v>-0.2484129718345873</v>
      </c>
      <c r="AO111">
        <f t="shared" si="71"/>
        <v>0.44220220510805974</v>
      </c>
      <c r="AP111">
        <f t="shared" si="72"/>
        <v>0.23052299961736936</v>
      </c>
      <c r="AQ111">
        <f t="shared" si="73"/>
        <v>-0.79345324211210955</v>
      </c>
      <c r="AR111">
        <f t="shared" si="74"/>
        <v>-1.3709399208741546</v>
      </c>
      <c r="AS111">
        <f t="shared" si="75"/>
        <v>-0.59472371059030282</v>
      </c>
      <c r="AT111">
        <f t="shared" si="76"/>
        <v>-0.9889508478299287</v>
      </c>
      <c r="AU111">
        <f t="shared" si="77"/>
        <v>-0.26736928005011762</v>
      </c>
      <c r="AV111">
        <f t="shared" si="78"/>
        <v>2.9602727089265146</v>
      </c>
      <c r="AW111">
        <f t="shared" si="79"/>
        <v>0.23276509985145549</v>
      </c>
      <c r="AX111">
        <f t="shared" si="80"/>
        <v>-0.90988665163704274</v>
      </c>
      <c r="AY111">
        <f t="shared" si="81"/>
        <v>0.81915793394900105</v>
      </c>
      <c r="AZ111">
        <f t="shared" si="82"/>
        <v>0.42099098667658108</v>
      </c>
      <c r="BA111">
        <f t="shared" si="83"/>
        <v>-0.41089879458435868</v>
      </c>
      <c r="BB111">
        <f t="shared" si="84"/>
        <v>0.25332193686566579</v>
      </c>
      <c r="BC111">
        <f t="shared" si="85"/>
        <v>0.22540154851788832</v>
      </c>
      <c r="BD111" t="str">
        <f t="shared" si="86"/>
        <v>C00089</v>
      </c>
    </row>
    <row r="112" spans="1:56" x14ac:dyDescent="0.2">
      <c r="A112" t="s">
        <v>181</v>
      </c>
      <c r="B112">
        <v>325975840</v>
      </c>
      <c r="C112">
        <v>231135648</v>
      </c>
      <c r="D112">
        <v>409869152</v>
      </c>
      <c r="E112">
        <v>203069216</v>
      </c>
      <c r="F112">
        <v>227894992</v>
      </c>
      <c r="G112">
        <v>175792880</v>
      </c>
      <c r="H112">
        <v>199911008</v>
      </c>
      <c r="I112">
        <v>218096304</v>
      </c>
      <c r="J112">
        <v>124068320</v>
      </c>
      <c r="K112">
        <v>85607464</v>
      </c>
      <c r="L112">
        <v>92705296</v>
      </c>
      <c r="M112">
        <v>122538864</v>
      </c>
      <c r="N112">
        <v>119398632</v>
      </c>
      <c r="O112">
        <v>150087872</v>
      </c>
      <c r="P112">
        <v>136406480</v>
      </c>
      <c r="Q112">
        <v>119396512</v>
      </c>
      <c r="R112" s="2" t="s">
        <v>182</v>
      </c>
      <c r="S112" s="4" t="s">
        <v>421</v>
      </c>
      <c r="T112">
        <f t="shared" si="51"/>
        <v>8.5131854131246687</v>
      </c>
      <c r="U112">
        <f t="shared" si="52"/>
        <v>8.3638669317870171</v>
      </c>
      <c r="V112">
        <f t="shared" si="53"/>
        <v>8.612645233221798</v>
      </c>
      <c r="W112">
        <f t="shared" si="54"/>
        <v>8.3076440921166146</v>
      </c>
      <c r="X112">
        <f t="shared" si="55"/>
        <v>8.3577347816496061</v>
      </c>
      <c r="Y112">
        <f t="shared" si="56"/>
        <v>8.2450012812080011</v>
      </c>
      <c r="Z112">
        <f t="shared" si="57"/>
        <v>8.3008367089857042</v>
      </c>
      <c r="AA112">
        <f t="shared" si="58"/>
        <v>8.3386483058079257</v>
      </c>
      <c r="AB112">
        <f t="shared" si="59"/>
        <v>8.0936609015180672</v>
      </c>
      <c r="AC112">
        <f t="shared" si="60"/>
        <v>7.9325116318815292</v>
      </c>
      <c r="AD112">
        <f t="shared" si="61"/>
        <v>7.9671045449090911</v>
      </c>
      <c r="AE112">
        <f t="shared" si="62"/>
        <v>8.0882738498753355</v>
      </c>
      <c r="AF112">
        <f t="shared" si="63"/>
        <v>8.0769993509285705</v>
      </c>
      <c r="AG112">
        <f t="shared" si="64"/>
        <v>8.1763456000628683</v>
      </c>
      <c r="AH112">
        <f t="shared" si="65"/>
        <v>8.1348350020022533</v>
      </c>
      <c r="AI112">
        <f t="shared" si="66"/>
        <v>8.0769916396804575</v>
      </c>
      <c r="AJ112" t="str">
        <f t="shared" si="67"/>
        <v>C00188</v>
      </c>
      <c r="AL112">
        <f t="shared" si="68"/>
        <v>8.2241428292974703</v>
      </c>
      <c r="AM112">
        <f t="shared" si="69"/>
        <v>0.18945867550752446</v>
      </c>
      <c r="AN112">
        <f t="shared" si="70"/>
        <v>1.5256233743475045</v>
      </c>
      <c r="AO112">
        <f t="shared" si="71"/>
        <v>0.7374911817326496</v>
      </c>
      <c r="AP112">
        <f t="shared" si="72"/>
        <v>2.0505917867503412</v>
      </c>
      <c r="AQ112">
        <f t="shared" si="73"/>
        <v>0.44073602116904892</v>
      </c>
      <c r="AR112">
        <f t="shared" si="74"/>
        <v>0.70512449215781703</v>
      </c>
      <c r="AS112">
        <f t="shared" si="75"/>
        <v>0.11009499488294698</v>
      </c>
      <c r="AT112">
        <f t="shared" si="76"/>
        <v>0.40480531959164884</v>
      </c>
      <c r="AU112">
        <f t="shared" si="77"/>
        <v>0.6043823340563137</v>
      </c>
      <c r="AV112">
        <f t="shared" si="78"/>
        <v>-0.68870917327943104</v>
      </c>
      <c r="AW112">
        <f t="shared" si="79"/>
        <v>-1.5392865839197678</v>
      </c>
      <c r="AX112">
        <f t="shared" si="80"/>
        <v>-1.3566984129907038</v>
      </c>
      <c r="AY112">
        <f t="shared" si="81"/>
        <v>-0.71714308705139618</v>
      </c>
      <c r="AZ112">
        <f t="shared" si="82"/>
        <v>-0.77665210091187387</v>
      </c>
      <c r="BA112">
        <f t="shared" si="83"/>
        <v>-0.25228313829684595</v>
      </c>
      <c r="BB112">
        <f t="shared" si="84"/>
        <v>-0.47138420584846807</v>
      </c>
      <c r="BC112">
        <f t="shared" si="85"/>
        <v>-0.77669280238987315</v>
      </c>
      <c r="BD112" t="str">
        <f t="shared" si="86"/>
        <v>C00188</v>
      </c>
    </row>
    <row r="113" spans="1:56" x14ac:dyDescent="0.2">
      <c r="A113" t="s">
        <v>183</v>
      </c>
      <c r="B113">
        <v>13219803</v>
      </c>
      <c r="C113">
        <v>12381727</v>
      </c>
      <c r="D113">
        <v>9945943</v>
      </c>
      <c r="E113">
        <v>7680574.5</v>
      </c>
      <c r="F113">
        <v>13444435</v>
      </c>
      <c r="G113">
        <v>8422212</v>
      </c>
      <c r="H113">
        <v>8495893</v>
      </c>
      <c r="I113">
        <v>8031844</v>
      </c>
      <c r="J113">
        <v>4684388</v>
      </c>
      <c r="K113">
        <v>2780591.5</v>
      </c>
      <c r="L113">
        <v>3264170</v>
      </c>
      <c r="M113">
        <v>3442772.25</v>
      </c>
      <c r="N113">
        <v>4627499</v>
      </c>
      <c r="O113">
        <v>4805128.5</v>
      </c>
      <c r="P113">
        <v>4354177.5</v>
      </c>
      <c r="Q113">
        <v>4989909</v>
      </c>
      <c r="R113" s="2" t="s">
        <v>184</v>
      </c>
      <c r="S113" s="4" t="s">
        <v>421</v>
      </c>
      <c r="T113">
        <f t="shared" si="51"/>
        <v>7.121224983390892</v>
      </c>
      <c r="U113">
        <f t="shared" si="52"/>
        <v>7.092781224188224</v>
      </c>
      <c r="V113">
        <f t="shared" si="53"/>
        <v>6.9976459659703663</v>
      </c>
      <c r="W113">
        <f t="shared" si="54"/>
        <v>6.8853937060794745</v>
      </c>
      <c r="X113">
        <f t="shared" si="55"/>
        <v>7.1285425557941178</v>
      </c>
      <c r="Y113">
        <f t="shared" si="56"/>
        <v>6.9254261690803727</v>
      </c>
      <c r="Z113">
        <f t="shared" si="57"/>
        <v>6.9292090341279087</v>
      </c>
      <c r="AA113">
        <f t="shared" si="58"/>
        <v>6.9048152647166416</v>
      </c>
      <c r="AB113">
        <f t="shared" si="59"/>
        <v>6.6706528597735621</v>
      </c>
      <c r="AC113">
        <f t="shared" si="60"/>
        <v>6.4441371908321834</v>
      </c>
      <c r="AD113">
        <f t="shared" si="61"/>
        <v>6.5137727689970601</v>
      </c>
      <c r="AE113">
        <f t="shared" si="62"/>
        <v>6.5369082937358085</v>
      </c>
      <c r="AF113">
        <f t="shared" si="63"/>
        <v>6.6653463335741518</v>
      </c>
      <c r="AG113">
        <f t="shared" si="64"/>
        <v>6.6817050061762018</v>
      </c>
      <c r="AH113">
        <f t="shared" si="65"/>
        <v>6.6389061292754175</v>
      </c>
      <c r="AI113">
        <f t="shared" si="66"/>
        <v>6.6980926255516025</v>
      </c>
      <c r="AJ113" t="str">
        <f t="shared" si="67"/>
        <v>C05519</v>
      </c>
      <c r="AL113">
        <f t="shared" si="68"/>
        <v>6.8021600069539989</v>
      </c>
      <c r="AM113">
        <f t="shared" si="69"/>
        <v>0.22353445759628612</v>
      </c>
      <c r="AN113">
        <f t="shared" si="70"/>
        <v>1.427363726683873</v>
      </c>
      <c r="AO113">
        <f t="shared" si="71"/>
        <v>1.3001182026222589</v>
      </c>
      <c r="AP113">
        <f t="shared" si="72"/>
        <v>0.8745227072303291</v>
      </c>
      <c r="AQ113">
        <f t="shared" si="73"/>
        <v>0.37235288026958085</v>
      </c>
      <c r="AR113">
        <f t="shared" si="74"/>
        <v>1.4600994958440872</v>
      </c>
      <c r="AS113">
        <f t="shared" si="75"/>
        <v>0.55144143525737011</v>
      </c>
      <c r="AT113">
        <f t="shared" si="76"/>
        <v>0.56836439688133611</v>
      </c>
      <c r="AU113">
        <f t="shared" si="77"/>
        <v>0.45923683921716896</v>
      </c>
      <c r="AV113">
        <f t="shared" si="78"/>
        <v>-0.58830816776331163</v>
      </c>
      <c r="AW113">
        <f t="shared" si="79"/>
        <v>-1.6016448648307358</v>
      </c>
      <c r="AX113">
        <f t="shared" si="80"/>
        <v>-1.2901243103995172</v>
      </c>
      <c r="AY113">
        <f t="shared" si="81"/>
        <v>-1.1866256149968952</v>
      </c>
      <c r="AZ113">
        <f t="shared" si="82"/>
        <v>-0.61204735435884827</v>
      </c>
      <c r="BA113">
        <f t="shared" si="83"/>
        <v>-0.53886547100199023</v>
      </c>
      <c r="BB113">
        <f t="shared" si="84"/>
        <v>-0.73032980880927867</v>
      </c>
      <c r="BC113">
        <f t="shared" si="85"/>
        <v>-0.46555409184541524</v>
      </c>
      <c r="BD113" t="str">
        <f t="shared" si="86"/>
        <v>C05519</v>
      </c>
    </row>
    <row r="114" spans="1:56" x14ac:dyDescent="0.2">
      <c r="A114" t="s">
        <v>185</v>
      </c>
      <c r="B114">
        <v>347132064</v>
      </c>
      <c r="C114">
        <v>312269888</v>
      </c>
      <c r="D114">
        <v>158420416</v>
      </c>
      <c r="E114">
        <v>208266032</v>
      </c>
      <c r="F114">
        <v>294259328</v>
      </c>
      <c r="G114">
        <v>228595200</v>
      </c>
      <c r="H114">
        <v>243064992</v>
      </c>
      <c r="I114">
        <v>230743504</v>
      </c>
      <c r="J114">
        <v>25335338</v>
      </c>
      <c r="K114">
        <v>15069765</v>
      </c>
      <c r="L114">
        <v>18673900</v>
      </c>
      <c r="M114">
        <v>28408378</v>
      </c>
      <c r="N114">
        <v>54284528</v>
      </c>
      <c r="O114">
        <v>69484440</v>
      </c>
      <c r="P114">
        <v>59133620</v>
      </c>
      <c r="Q114">
        <v>50109124</v>
      </c>
      <c r="R114" s="2"/>
      <c r="S114" s="4" t="s">
        <v>421</v>
      </c>
      <c r="T114">
        <f t="shared" si="51"/>
        <v>8.5404947305689163</v>
      </c>
      <c r="U114">
        <f t="shared" si="52"/>
        <v>8.4945301074900588</v>
      </c>
      <c r="V114">
        <f t="shared" si="53"/>
        <v>8.1998111493796824</v>
      </c>
      <c r="W114">
        <f t="shared" si="54"/>
        <v>8.318618442689349</v>
      </c>
      <c r="X114">
        <f t="shared" si="55"/>
        <v>8.468730238838214</v>
      </c>
      <c r="Y114">
        <f t="shared" si="56"/>
        <v>8.3590671069192837</v>
      </c>
      <c r="Z114">
        <f t="shared" si="57"/>
        <v>8.3857224130759569</v>
      </c>
      <c r="AA114">
        <f t="shared" si="58"/>
        <v>8.3631294834068743</v>
      </c>
      <c r="AB114">
        <f t="shared" si="59"/>
        <v>7.4037267026095481</v>
      </c>
      <c r="AC114">
        <f t="shared" si="60"/>
        <v>7.1781064799192098</v>
      </c>
      <c r="AD114">
        <f t="shared" si="61"/>
        <v>7.2712350288006808</v>
      </c>
      <c r="AE114">
        <f t="shared" si="62"/>
        <v>7.4534464380256757</v>
      </c>
      <c r="AF114">
        <f t="shared" si="63"/>
        <v>7.7346760660215459</v>
      </c>
      <c r="AG114">
        <f t="shared" si="64"/>
        <v>7.8418875617308892</v>
      </c>
      <c r="AH114">
        <f t="shared" si="65"/>
        <v>7.7718344661444165</v>
      </c>
      <c r="AI114">
        <f t="shared" si="66"/>
        <v>7.6999168105394924</v>
      </c>
      <c r="AJ114">
        <f t="shared" si="67"/>
        <v>0</v>
      </c>
      <c r="AL114">
        <f t="shared" si="68"/>
        <v>7.9678083266349864</v>
      </c>
      <c r="AM114">
        <f t="shared" si="69"/>
        <v>0.47533943662894995</v>
      </c>
      <c r="AN114">
        <f t="shared" si="70"/>
        <v>1.2047946368501483</v>
      </c>
      <c r="AO114">
        <f t="shared" si="71"/>
        <v>1.1080961104143174</v>
      </c>
      <c r="AP114">
        <f t="shared" si="72"/>
        <v>0.48807821288726233</v>
      </c>
      <c r="AQ114">
        <f t="shared" si="73"/>
        <v>0.73802022096518172</v>
      </c>
      <c r="AR114">
        <f t="shared" si="74"/>
        <v>1.0538193837980401</v>
      </c>
      <c r="AS114">
        <f t="shared" si="75"/>
        <v>0.82311449489454824</v>
      </c>
      <c r="AT114">
        <f t="shared" si="76"/>
        <v>0.87919085654825291</v>
      </c>
      <c r="AU114">
        <f t="shared" si="77"/>
        <v>0.83166075925754868</v>
      </c>
      <c r="AV114">
        <f t="shared" si="78"/>
        <v>-1.1866922467570484</v>
      </c>
      <c r="AW114">
        <f t="shared" si="79"/>
        <v>-1.6613430022054281</v>
      </c>
      <c r="AX114">
        <f t="shared" si="80"/>
        <v>-1.4654229044707914</v>
      </c>
      <c r="AY114">
        <f t="shared" si="81"/>
        <v>-1.0820938659268484</v>
      </c>
      <c r="AZ114">
        <f t="shared" si="82"/>
        <v>-0.49045427887655696</v>
      </c>
      <c r="BA114">
        <f t="shared" si="83"/>
        <v>-0.26490704368463958</v>
      </c>
      <c r="BB114">
        <f t="shared" si="84"/>
        <v>-0.41228193031992649</v>
      </c>
      <c r="BC114">
        <f t="shared" si="85"/>
        <v>-0.563579403374036</v>
      </c>
      <c r="BD114">
        <f t="shared" si="86"/>
        <v>0</v>
      </c>
    </row>
    <row r="115" spans="1:56" x14ac:dyDescent="0.2">
      <c r="A115" t="s">
        <v>186</v>
      </c>
      <c r="C115">
        <v>19966.691409999999</v>
      </c>
      <c r="F115">
        <v>26878.257809999999</v>
      </c>
      <c r="J115">
        <v>54318.304689999997</v>
      </c>
      <c r="K115">
        <v>34633.046880000002</v>
      </c>
      <c r="L115">
        <v>30297.61133</v>
      </c>
      <c r="M115">
        <v>52693.996090000001</v>
      </c>
      <c r="N115">
        <v>96435.101559999996</v>
      </c>
      <c r="O115">
        <v>162001.7812</v>
      </c>
      <c r="P115">
        <v>168640.39060000001</v>
      </c>
      <c r="Q115">
        <v>104202.9375</v>
      </c>
      <c r="R115" s="2" t="s">
        <v>389</v>
      </c>
      <c r="S115" s="4" t="s">
        <v>421</v>
      </c>
      <c r="T115" t="e">
        <f t="shared" si="51"/>
        <v>#NUM!</v>
      </c>
      <c r="U115">
        <f t="shared" si="52"/>
        <v>4.3003061058609582</v>
      </c>
      <c r="V115" t="e">
        <f t="shared" si="53"/>
        <v>#NUM!</v>
      </c>
      <c r="W115" t="e">
        <f t="shared" si="54"/>
        <v>#NUM!</v>
      </c>
      <c r="X115">
        <f t="shared" si="55"/>
        <v>4.4294011152737429</v>
      </c>
      <c r="Y115" t="e">
        <f t="shared" si="56"/>
        <v>#NUM!</v>
      </c>
      <c r="Z115" t="e">
        <f t="shared" si="57"/>
        <v>#NUM!</v>
      </c>
      <c r="AA115" t="e">
        <f t="shared" si="58"/>
        <v>#NUM!</v>
      </c>
      <c r="AB115">
        <f t="shared" si="59"/>
        <v>4.7349462068676651</v>
      </c>
      <c r="AC115">
        <f t="shared" si="60"/>
        <v>4.5394907007600427</v>
      </c>
      <c r="AD115">
        <f t="shared" si="61"/>
        <v>4.481408389984388</v>
      </c>
      <c r="AE115">
        <f t="shared" si="62"/>
        <v>4.7217611348800341</v>
      </c>
      <c r="AF115">
        <f t="shared" si="63"/>
        <v>4.9842351421918218</v>
      </c>
      <c r="AG115">
        <f t="shared" si="64"/>
        <v>5.2095197896110168</v>
      </c>
      <c r="AH115">
        <f t="shared" si="65"/>
        <v>5.226961599433948</v>
      </c>
      <c r="AI115">
        <f t="shared" si="66"/>
        <v>5.0178799619775054</v>
      </c>
      <c r="AJ115" t="str">
        <f t="shared" si="67"/>
        <v>C01035</v>
      </c>
      <c r="AL115" t="e">
        <f t="shared" si="68"/>
        <v>#NUM!</v>
      </c>
      <c r="AM115" t="e">
        <f t="shared" si="69"/>
        <v>#NUM!</v>
      </c>
      <c r="AN115" t="e">
        <f t="shared" si="70"/>
        <v>#NUM!</v>
      </c>
      <c r="AO115" t="e">
        <f t="shared" si="71"/>
        <v>#NUM!</v>
      </c>
      <c r="AP115" t="e">
        <f t="shared" si="72"/>
        <v>#NUM!</v>
      </c>
      <c r="AQ115" t="e">
        <f t="shared" si="73"/>
        <v>#NUM!</v>
      </c>
      <c r="AR115" t="e">
        <f t="shared" si="74"/>
        <v>#NUM!</v>
      </c>
      <c r="AS115" t="e">
        <f t="shared" si="75"/>
        <v>#NUM!</v>
      </c>
      <c r="AT115" t="e">
        <f t="shared" si="76"/>
        <v>#NUM!</v>
      </c>
      <c r="AU115" t="e">
        <f t="shared" si="77"/>
        <v>#NUM!</v>
      </c>
      <c r="AV115" t="e">
        <f t="shared" si="78"/>
        <v>#NUM!</v>
      </c>
      <c r="AW115" t="e">
        <f t="shared" si="79"/>
        <v>#NUM!</v>
      </c>
      <c r="AX115" t="e">
        <f t="shared" si="80"/>
        <v>#NUM!</v>
      </c>
      <c r="AY115" t="e">
        <f t="shared" si="81"/>
        <v>#NUM!</v>
      </c>
      <c r="AZ115" t="e">
        <f t="shared" si="82"/>
        <v>#NUM!</v>
      </c>
      <c r="BA115" t="e">
        <f t="shared" si="83"/>
        <v>#NUM!</v>
      </c>
      <c r="BB115" t="e">
        <f t="shared" si="84"/>
        <v>#NUM!</v>
      </c>
      <c r="BC115" t="e">
        <f t="shared" si="85"/>
        <v>#NUM!</v>
      </c>
      <c r="BD115" t="str">
        <f t="shared" si="86"/>
        <v>C01035</v>
      </c>
    </row>
    <row r="116" spans="1:56" x14ac:dyDescent="0.2">
      <c r="A116" t="s">
        <v>187</v>
      </c>
      <c r="B116">
        <v>11309395</v>
      </c>
      <c r="C116">
        <v>10125107</v>
      </c>
      <c r="D116">
        <v>12437624</v>
      </c>
      <c r="E116">
        <v>6926507</v>
      </c>
      <c r="F116">
        <v>8225128.5</v>
      </c>
      <c r="G116">
        <v>5029506.5</v>
      </c>
      <c r="H116">
        <v>5680384</v>
      </c>
      <c r="I116">
        <v>6199224</v>
      </c>
      <c r="J116">
        <v>15315959</v>
      </c>
      <c r="K116">
        <v>9520610</v>
      </c>
      <c r="L116">
        <v>10406663</v>
      </c>
      <c r="M116">
        <v>13647614</v>
      </c>
      <c r="N116">
        <v>5221764</v>
      </c>
      <c r="O116">
        <v>6201055.5</v>
      </c>
      <c r="P116">
        <v>6526563</v>
      </c>
      <c r="Q116">
        <v>5627668.5</v>
      </c>
      <c r="R116" s="2" t="s">
        <v>188</v>
      </c>
      <c r="S116" s="4" t="s">
        <v>421</v>
      </c>
      <c r="T116">
        <f t="shared" si="51"/>
        <v>7.0534393728132248</v>
      </c>
      <c r="U116">
        <f t="shared" si="52"/>
        <v>7.0053996214436465</v>
      </c>
      <c r="V116">
        <f t="shared" si="53"/>
        <v>7.0947374235827114</v>
      </c>
      <c r="W116">
        <f t="shared" si="54"/>
        <v>6.8405142774594134</v>
      </c>
      <c r="X116">
        <f t="shared" si="55"/>
        <v>6.9151426915952632</v>
      </c>
      <c r="Y116">
        <f t="shared" si="56"/>
        <v>6.7015253737554641</v>
      </c>
      <c r="Z116">
        <f t="shared" si="57"/>
        <v>6.7543776954722938</v>
      </c>
      <c r="AA116">
        <f t="shared" si="58"/>
        <v>6.7923373292385474</v>
      </c>
      <c r="AB116">
        <f t="shared" si="59"/>
        <v>7.1851441950941934</v>
      </c>
      <c r="AC116">
        <f t="shared" si="60"/>
        <v>6.9786647751856172</v>
      </c>
      <c r="AD116">
        <f t="shared" si="61"/>
        <v>7.0173114909881535</v>
      </c>
      <c r="AE116">
        <f t="shared" si="62"/>
        <v>7.135056730702062</v>
      </c>
      <c r="AF116">
        <f t="shared" si="63"/>
        <v>6.7178172397937406</v>
      </c>
      <c r="AG116">
        <f t="shared" si="64"/>
        <v>6.7924656183387073</v>
      </c>
      <c r="AH116">
        <f t="shared" si="65"/>
        <v>6.8146845345525362</v>
      </c>
      <c r="AI116">
        <f t="shared" si="66"/>
        <v>6.7503285072309147</v>
      </c>
      <c r="AJ116" t="str">
        <f t="shared" si="67"/>
        <v>C00263</v>
      </c>
      <c r="AL116">
        <f t="shared" si="68"/>
        <v>6.9093091798279067</v>
      </c>
      <c r="AM116">
        <f t="shared" si="69"/>
        <v>0.15876385927588976</v>
      </c>
      <c r="AN116">
        <f t="shared" si="70"/>
        <v>0.90782747183575152</v>
      </c>
      <c r="AO116">
        <f t="shared" si="71"/>
        <v>0.60524128132183974</v>
      </c>
      <c r="AP116">
        <f t="shared" si="72"/>
        <v>1.1679499641828388</v>
      </c>
      <c r="AQ116">
        <f t="shared" si="73"/>
        <v>-0.43331588613593641</v>
      </c>
      <c r="AR116">
        <f t="shared" si="74"/>
        <v>3.674332303310518E-2</v>
      </c>
      <c r="AS116">
        <f t="shared" si="75"/>
        <v>-1.3087601108975886</v>
      </c>
      <c r="AT116">
        <f t="shared" si="76"/>
        <v>-0.97586116300173065</v>
      </c>
      <c r="AU116">
        <f t="shared" si="77"/>
        <v>-0.73676623334088309</v>
      </c>
      <c r="AV116">
        <f t="shared" si="78"/>
        <v>1.7373917245672275</v>
      </c>
      <c r="AW116">
        <f t="shared" si="79"/>
        <v>0.43684750215846518</v>
      </c>
      <c r="AX116">
        <f t="shared" si="80"/>
        <v>0.68027012981945256</v>
      </c>
      <c r="AY116">
        <f t="shared" si="81"/>
        <v>1.4219076803988844</v>
      </c>
      <c r="AZ116">
        <f t="shared" si="82"/>
        <v>-1.20614314181796</v>
      </c>
      <c r="BA116">
        <f t="shared" si="83"/>
        <v>-0.73595818356970055</v>
      </c>
      <c r="BB116">
        <f t="shared" si="84"/>
        <v>-0.59600872457337917</v>
      </c>
      <c r="BC116">
        <f t="shared" si="85"/>
        <v>-1.0013656339804986</v>
      </c>
      <c r="BD116" t="str">
        <f t="shared" si="86"/>
        <v>C00263</v>
      </c>
    </row>
    <row r="117" spans="1:56" x14ac:dyDescent="0.2">
      <c r="A117" t="s">
        <v>189</v>
      </c>
      <c r="B117">
        <v>155956.10939999999</v>
      </c>
      <c r="C117">
        <v>115690.6562</v>
      </c>
      <c r="D117">
        <v>67285.210940000004</v>
      </c>
      <c r="E117">
        <v>97941.21875</v>
      </c>
      <c r="F117">
        <v>89419.5625</v>
      </c>
      <c r="G117">
        <v>74165.617190000004</v>
      </c>
      <c r="H117">
        <v>67188.328120000006</v>
      </c>
      <c r="I117">
        <v>60386.25</v>
      </c>
      <c r="J117">
        <v>76938.539059999996</v>
      </c>
      <c r="K117">
        <v>77626.8125</v>
      </c>
      <c r="L117">
        <v>89870.742190000004</v>
      </c>
      <c r="M117">
        <v>82209.695309999996</v>
      </c>
      <c r="N117">
        <v>97537.171879999994</v>
      </c>
      <c r="O117">
        <v>86867.976559999996</v>
      </c>
      <c r="P117">
        <v>82818.679690000004</v>
      </c>
      <c r="Q117">
        <v>89398.460940000004</v>
      </c>
      <c r="R117" s="2" t="s">
        <v>190</v>
      </c>
      <c r="S117" s="4" t="s">
        <v>421</v>
      </c>
      <c r="T117">
        <f t="shared" si="51"/>
        <v>5.1930023924098503</v>
      </c>
      <c r="U117">
        <f t="shared" si="52"/>
        <v>5.0632982844085603</v>
      </c>
      <c r="V117">
        <f t="shared" si="53"/>
        <v>4.8279196182662591</v>
      </c>
      <c r="W117">
        <f t="shared" si="54"/>
        <v>4.9909655039409966</v>
      </c>
      <c r="X117">
        <f t="shared" si="55"/>
        <v>4.9514325406796234</v>
      </c>
      <c r="Y117">
        <f t="shared" si="56"/>
        <v>4.8702026151795357</v>
      </c>
      <c r="Z117">
        <f t="shared" si="57"/>
        <v>4.8272938344623775</v>
      </c>
      <c r="AA117">
        <f t="shared" si="58"/>
        <v>4.780938060658583</v>
      </c>
      <c r="AB117">
        <f t="shared" si="59"/>
        <v>4.8861439354903675</v>
      </c>
      <c r="AC117">
        <f t="shared" si="60"/>
        <v>4.8900117535976317</v>
      </c>
      <c r="AD117">
        <f t="shared" si="61"/>
        <v>4.9536183282900685</v>
      </c>
      <c r="AE117">
        <f t="shared" si="62"/>
        <v>4.9149230386025344</v>
      </c>
      <c r="AF117">
        <f t="shared" si="63"/>
        <v>4.9891701589373545</v>
      </c>
      <c r="AG117">
        <f t="shared" si="64"/>
        <v>4.9388597054883396</v>
      </c>
      <c r="AH117">
        <f t="shared" si="65"/>
        <v>4.9181283026223115</v>
      </c>
      <c r="AI117">
        <f t="shared" si="66"/>
        <v>4.9513300421625974</v>
      </c>
      <c r="AJ117" t="str">
        <f t="shared" si="67"/>
        <v>C00322</v>
      </c>
      <c r="AL117">
        <f t="shared" si="68"/>
        <v>4.9342023821998122</v>
      </c>
      <c r="AM117">
        <f t="shared" si="69"/>
        <v>9.8684511262212074E-2</v>
      </c>
      <c r="AN117">
        <f t="shared" si="70"/>
        <v>2.6224987781759106</v>
      </c>
      <c r="AO117">
        <f t="shared" si="71"/>
        <v>1.3081678224633522</v>
      </c>
      <c r="AP117">
        <f t="shared" si="72"/>
        <v>-1.0769953924294349</v>
      </c>
      <c r="AQ117">
        <f t="shared" si="73"/>
        <v>0.57519788075314615</v>
      </c>
      <c r="AR117">
        <f t="shared" si="74"/>
        <v>0.17459840718093358</v>
      </c>
      <c r="AS117">
        <f t="shared" si="75"/>
        <v>-0.64852899610785331</v>
      </c>
      <c r="AT117">
        <f t="shared" si="76"/>
        <v>-1.0833366489840619</v>
      </c>
      <c r="AU117">
        <f t="shared" si="77"/>
        <v>-1.5530737253589328</v>
      </c>
      <c r="AV117">
        <f t="shared" si="78"/>
        <v>-0.48699077590555057</v>
      </c>
      <c r="AW117">
        <f t="shared" si="79"/>
        <v>-0.44779700519327392</v>
      </c>
      <c r="AX117">
        <f t="shared" si="80"/>
        <v>0.19674765413456535</v>
      </c>
      <c r="AY117">
        <f t="shared" si="81"/>
        <v>-0.1953634197574444</v>
      </c>
      <c r="AZ117">
        <f t="shared" si="82"/>
        <v>0.55700510682460402</v>
      </c>
      <c r="BA117">
        <f t="shared" si="83"/>
        <v>4.7194065501855315E-2</v>
      </c>
      <c r="BB117">
        <f t="shared" si="84"/>
        <v>-0.16288351000483459</v>
      </c>
      <c r="BC117">
        <f t="shared" si="85"/>
        <v>0.17355975870697415</v>
      </c>
      <c r="BD117" t="str">
        <f t="shared" si="86"/>
        <v>C00322</v>
      </c>
    </row>
    <row r="118" spans="1:56" x14ac:dyDescent="0.2">
      <c r="A118" t="s">
        <v>191</v>
      </c>
      <c r="D118">
        <v>29816.978520000001</v>
      </c>
      <c r="F118">
        <v>24933.242190000001</v>
      </c>
      <c r="G118">
        <v>22349.54492</v>
      </c>
      <c r="H118">
        <v>25234.220700000002</v>
      </c>
      <c r="I118">
        <v>24078.45508</v>
      </c>
      <c r="K118">
        <v>18112.478520000001</v>
      </c>
      <c r="L118">
        <v>21190.63867</v>
      </c>
      <c r="M118">
        <v>24498.990229999999</v>
      </c>
      <c r="N118">
        <v>32413.427729999999</v>
      </c>
      <c r="O118">
        <v>29516.01367</v>
      </c>
      <c r="R118" s="2" t="s">
        <v>390</v>
      </c>
      <c r="S118" s="4" t="s">
        <v>421</v>
      </c>
      <c r="T118" t="e">
        <f t="shared" si="51"/>
        <v>#NUM!</v>
      </c>
      <c r="U118" t="e">
        <f t="shared" si="52"/>
        <v>#NUM!</v>
      </c>
      <c r="V118">
        <f t="shared" si="53"/>
        <v>4.4744636324578568</v>
      </c>
      <c r="W118" t="e">
        <f t="shared" si="54"/>
        <v>#NUM!</v>
      </c>
      <c r="X118">
        <f t="shared" si="55"/>
        <v>4.3967787555865474</v>
      </c>
      <c r="Y118">
        <f t="shared" si="56"/>
        <v>4.3492686844816033</v>
      </c>
      <c r="Z118">
        <f t="shared" si="57"/>
        <v>4.4019898971055378</v>
      </c>
      <c r="AA118">
        <f t="shared" si="58"/>
        <v>4.3816286183102369</v>
      </c>
      <c r="AB118" t="e">
        <f t="shared" si="59"/>
        <v>#NUM!</v>
      </c>
      <c r="AC118">
        <f t="shared" si="60"/>
        <v>4.2579778834398381</v>
      </c>
      <c r="AD118">
        <f t="shared" si="61"/>
        <v>4.3261440462189045</v>
      </c>
      <c r="AE118">
        <f t="shared" si="62"/>
        <v>4.3891481845042701</v>
      </c>
      <c r="AF118">
        <f t="shared" si="63"/>
        <v>4.5107249602364492</v>
      </c>
      <c r="AG118">
        <f t="shared" si="64"/>
        <v>4.4700577028114212</v>
      </c>
      <c r="AH118" t="e">
        <f t="shared" si="65"/>
        <v>#NUM!</v>
      </c>
      <c r="AI118" t="e">
        <f t="shared" si="66"/>
        <v>#NUM!</v>
      </c>
      <c r="AJ118" t="str">
        <f t="shared" si="67"/>
        <v>C00942</v>
      </c>
      <c r="AL118" t="e">
        <f t="shared" si="68"/>
        <v>#NUM!</v>
      </c>
      <c r="AM118" t="e">
        <f t="shared" si="69"/>
        <v>#NUM!</v>
      </c>
      <c r="AN118" t="e">
        <f t="shared" si="70"/>
        <v>#NUM!</v>
      </c>
      <c r="AO118" t="e">
        <f t="shared" si="71"/>
        <v>#NUM!</v>
      </c>
      <c r="AP118" t="e">
        <f t="shared" si="72"/>
        <v>#NUM!</v>
      </c>
      <c r="AQ118" t="e">
        <f t="shared" si="73"/>
        <v>#NUM!</v>
      </c>
      <c r="AR118" t="e">
        <f t="shared" si="74"/>
        <v>#NUM!</v>
      </c>
      <c r="AS118" t="e">
        <f t="shared" si="75"/>
        <v>#NUM!</v>
      </c>
      <c r="AT118" t="e">
        <f t="shared" si="76"/>
        <v>#NUM!</v>
      </c>
      <c r="AU118" t="e">
        <f t="shared" si="77"/>
        <v>#NUM!</v>
      </c>
      <c r="AV118" t="e">
        <f t="shared" si="78"/>
        <v>#NUM!</v>
      </c>
      <c r="AW118" t="e">
        <f t="shared" si="79"/>
        <v>#NUM!</v>
      </c>
      <c r="AX118" t="e">
        <f t="shared" si="80"/>
        <v>#NUM!</v>
      </c>
      <c r="AY118" t="e">
        <f t="shared" si="81"/>
        <v>#NUM!</v>
      </c>
      <c r="AZ118" t="e">
        <f t="shared" si="82"/>
        <v>#NUM!</v>
      </c>
      <c r="BA118" t="e">
        <f t="shared" si="83"/>
        <v>#NUM!</v>
      </c>
      <c r="BB118" t="e">
        <f t="shared" si="84"/>
        <v>#NUM!</v>
      </c>
      <c r="BC118" t="e">
        <f t="shared" si="85"/>
        <v>#NUM!</v>
      </c>
      <c r="BD118" t="str">
        <f t="shared" si="86"/>
        <v>C00942</v>
      </c>
    </row>
    <row r="119" spans="1:56" x14ac:dyDescent="0.2">
      <c r="A119" t="s">
        <v>192</v>
      </c>
      <c r="B119">
        <v>11845657</v>
      </c>
      <c r="C119">
        <v>7817787</v>
      </c>
      <c r="D119">
        <v>1037540.062</v>
      </c>
      <c r="E119">
        <v>5141385.5</v>
      </c>
      <c r="F119">
        <v>1596247.125</v>
      </c>
      <c r="G119">
        <v>3817602</v>
      </c>
      <c r="H119">
        <v>883894.9375</v>
      </c>
      <c r="I119">
        <v>1142982.875</v>
      </c>
      <c r="J119">
        <v>295433.625</v>
      </c>
      <c r="K119">
        <v>168226.29689999999</v>
      </c>
      <c r="L119">
        <v>202121.5</v>
      </c>
      <c r="M119">
        <v>249840.89060000001</v>
      </c>
      <c r="N119">
        <v>271021.3125</v>
      </c>
      <c r="O119">
        <v>198277.2188</v>
      </c>
      <c r="P119">
        <v>244364.64060000001</v>
      </c>
      <c r="Q119">
        <v>177313.3125</v>
      </c>
      <c r="R119" s="2" t="s">
        <v>391</v>
      </c>
      <c r="S119" s="4" t="s">
        <v>421</v>
      </c>
      <c r="T119">
        <f t="shared" si="51"/>
        <v>7.0735591531602395</v>
      </c>
      <c r="U119">
        <f t="shared" si="52"/>
        <v>6.8930838336602083</v>
      </c>
      <c r="V119">
        <f t="shared" si="53"/>
        <v>6.016004874897023</v>
      </c>
      <c r="W119">
        <f t="shared" si="54"/>
        <v>6.7110801683965109</v>
      </c>
      <c r="X119">
        <f t="shared" si="55"/>
        <v>6.2031001280645741</v>
      </c>
      <c r="Y119">
        <f t="shared" si="56"/>
        <v>6.5817906495124436</v>
      </c>
      <c r="Z119">
        <f t="shared" si="57"/>
        <v>5.9464006464885886</v>
      </c>
      <c r="AA119">
        <f t="shared" si="58"/>
        <v>6.0580397235285117</v>
      </c>
      <c r="AB119">
        <f t="shared" si="59"/>
        <v>5.470459923341835</v>
      </c>
      <c r="AC119">
        <f t="shared" si="60"/>
        <v>5.2258938850759753</v>
      </c>
      <c r="AD119">
        <f t="shared" si="61"/>
        <v>5.3056125125985778</v>
      </c>
      <c r="AE119">
        <f t="shared" si="62"/>
        <v>5.3976635193408429</v>
      </c>
      <c r="AF119">
        <f t="shared" si="63"/>
        <v>5.4330034441482233</v>
      </c>
      <c r="AG119">
        <f t="shared" si="64"/>
        <v>5.2972728185028117</v>
      </c>
      <c r="AH119">
        <f t="shared" si="65"/>
        <v>5.3880383639957223</v>
      </c>
      <c r="AI119">
        <f t="shared" si="66"/>
        <v>5.2487413432052534</v>
      </c>
      <c r="AJ119" t="str">
        <f t="shared" si="67"/>
        <v>C06422</v>
      </c>
      <c r="AL119">
        <f t="shared" si="68"/>
        <v>5.8906090617448337</v>
      </c>
      <c r="AM119">
        <f t="shared" si="69"/>
        <v>0.63923715073351206</v>
      </c>
      <c r="AN119">
        <f t="shared" si="70"/>
        <v>1.850565302811318</v>
      </c>
      <c r="AO119">
        <f t="shared" si="71"/>
        <v>1.5682360932324639</v>
      </c>
      <c r="AP119">
        <f t="shared" si="72"/>
        <v>0.19616477704448193</v>
      </c>
      <c r="AQ119">
        <f t="shared" si="73"/>
        <v>1.2835159935717171</v>
      </c>
      <c r="AR119">
        <f t="shared" si="74"/>
        <v>0.48884997682184628</v>
      </c>
      <c r="AS119">
        <f t="shared" si="75"/>
        <v>1.0812600409323718</v>
      </c>
      <c r="AT119">
        <f t="shared" si="76"/>
        <v>8.7278382803213414E-2</v>
      </c>
      <c r="AU119">
        <f t="shared" si="77"/>
        <v>0.26192260820816604</v>
      </c>
      <c r="AV119">
        <f t="shared" si="78"/>
        <v>-0.65726645881092149</v>
      </c>
      <c r="AW119">
        <f t="shared" si="79"/>
        <v>-1.0398569230622952</v>
      </c>
      <c r="AX119">
        <f t="shared" si="80"/>
        <v>-0.915147920415739</v>
      </c>
      <c r="AY119">
        <f t="shared" si="81"/>
        <v>-0.77114657969791878</v>
      </c>
      <c r="AZ119">
        <f t="shared" si="82"/>
        <v>-0.71586205068262521</v>
      </c>
      <c r="BA119">
        <f t="shared" si="83"/>
        <v>-0.9281942430304313</v>
      </c>
      <c r="BB119">
        <f t="shared" si="84"/>
        <v>-0.78620383244688041</v>
      </c>
      <c r="BC119">
        <f t="shared" si="85"/>
        <v>-1.0041151672787629</v>
      </c>
      <c r="BD119" t="str">
        <f t="shared" si="86"/>
        <v>C06422</v>
      </c>
    </row>
    <row r="120" spans="1:56" x14ac:dyDescent="0.2">
      <c r="A120" t="s">
        <v>193</v>
      </c>
      <c r="D120">
        <v>19320.70508</v>
      </c>
      <c r="O120">
        <v>20440.814450000002</v>
      </c>
      <c r="R120" s="2"/>
      <c r="S120" s="4" t="s">
        <v>421</v>
      </c>
      <c r="T120" t="e">
        <f t="shared" si="51"/>
        <v>#NUM!</v>
      </c>
      <c r="U120" t="e">
        <f t="shared" si="52"/>
        <v>#NUM!</v>
      </c>
      <c r="V120">
        <f t="shared" si="53"/>
        <v>4.2860229712909579</v>
      </c>
      <c r="W120" t="e">
        <f t="shared" si="54"/>
        <v>#NUM!</v>
      </c>
      <c r="X120" t="e">
        <f t="shared" si="55"/>
        <v>#NUM!</v>
      </c>
      <c r="Y120" t="e">
        <f t="shared" si="56"/>
        <v>#NUM!</v>
      </c>
      <c r="Z120" t="e">
        <f t="shared" si="57"/>
        <v>#NUM!</v>
      </c>
      <c r="AA120" t="e">
        <f t="shared" si="58"/>
        <v>#NUM!</v>
      </c>
      <c r="AB120" t="e">
        <f t="shared" si="59"/>
        <v>#NUM!</v>
      </c>
      <c r="AC120" t="e">
        <f t="shared" si="60"/>
        <v>#NUM!</v>
      </c>
      <c r="AD120" t="e">
        <f t="shared" si="61"/>
        <v>#NUM!</v>
      </c>
      <c r="AE120" t="e">
        <f t="shared" si="62"/>
        <v>#NUM!</v>
      </c>
      <c r="AF120" t="e">
        <f t="shared" si="63"/>
        <v>#NUM!</v>
      </c>
      <c r="AG120">
        <f t="shared" si="64"/>
        <v>4.3104981959682531</v>
      </c>
      <c r="AH120" t="e">
        <f t="shared" si="65"/>
        <v>#NUM!</v>
      </c>
      <c r="AI120" t="e">
        <f t="shared" si="66"/>
        <v>#NUM!</v>
      </c>
      <c r="AJ120">
        <f t="shared" si="67"/>
        <v>0</v>
      </c>
      <c r="AL120" t="e">
        <f t="shared" si="68"/>
        <v>#NUM!</v>
      </c>
      <c r="AM120" t="e">
        <f t="shared" si="69"/>
        <v>#NUM!</v>
      </c>
      <c r="AN120" t="e">
        <f t="shared" si="70"/>
        <v>#NUM!</v>
      </c>
      <c r="AO120" t="e">
        <f t="shared" si="71"/>
        <v>#NUM!</v>
      </c>
      <c r="AP120" t="e">
        <f t="shared" si="72"/>
        <v>#NUM!</v>
      </c>
      <c r="AQ120" t="e">
        <f t="shared" si="73"/>
        <v>#NUM!</v>
      </c>
      <c r="AR120" t="e">
        <f t="shared" si="74"/>
        <v>#NUM!</v>
      </c>
      <c r="AS120" t="e">
        <f t="shared" si="75"/>
        <v>#NUM!</v>
      </c>
      <c r="AT120" t="e">
        <f t="shared" si="76"/>
        <v>#NUM!</v>
      </c>
      <c r="AU120" t="e">
        <f t="shared" si="77"/>
        <v>#NUM!</v>
      </c>
      <c r="AV120" t="e">
        <f t="shared" si="78"/>
        <v>#NUM!</v>
      </c>
      <c r="AW120" t="e">
        <f t="shared" si="79"/>
        <v>#NUM!</v>
      </c>
      <c r="AX120" t="e">
        <f t="shared" si="80"/>
        <v>#NUM!</v>
      </c>
      <c r="AY120" t="e">
        <f t="shared" si="81"/>
        <v>#NUM!</v>
      </c>
      <c r="AZ120" t="e">
        <f t="shared" si="82"/>
        <v>#NUM!</v>
      </c>
      <c r="BA120" t="e">
        <f t="shared" si="83"/>
        <v>#NUM!</v>
      </c>
      <c r="BB120" t="e">
        <f t="shared" si="84"/>
        <v>#NUM!</v>
      </c>
      <c r="BC120" t="e">
        <f t="shared" si="85"/>
        <v>#NUM!</v>
      </c>
      <c r="BD120">
        <f t="shared" si="86"/>
        <v>0</v>
      </c>
    </row>
    <row r="121" spans="1:56" x14ac:dyDescent="0.2">
      <c r="A121" t="s">
        <v>194</v>
      </c>
      <c r="B121">
        <v>2295466</v>
      </c>
      <c r="C121">
        <v>1714637.625</v>
      </c>
      <c r="D121">
        <v>253423.10939999999</v>
      </c>
      <c r="E121">
        <v>1275456.5</v>
      </c>
      <c r="F121">
        <v>380504.34379999997</v>
      </c>
      <c r="G121">
        <v>912761.3125</v>
      </c>
      <c r="H121">
        <v>252536.57810000001</v>
      </c>
      <c r="I121">
        <v>307135.71879999997</v>
      </c>
      <c r="J121">
        <v>74638.9375</v>
      </c>
      <c r="K121">
        <v>53449.933590000001</v>
      </c>
      <c r="L121">
        <v>72869.765620000006</v>
      </c>
      <c r="M121">
        <v>67067.109379999994</v>
      </c>
      <c r="N121">
        <v>78013.625</v>
      </c>
      <c r="O121">
        <v>45854.414060000003</v>
      </c>
      <c r="P121">
        <v>64185.214840000001</v>
      </c>
      <c r="Q121">
        <v>48383.070310000003</v>
      </c>
      <c r="R121" s="2" t="s">
        <v>392</v>
      </c>
      <c r="S121" s="4" t="s">
        <v>421</v>
      </c>
      <c r="T121">
        <f t="shared" si="51"/>
        <v>6.3608708644635117</v>
      </c>
      <c r="U121">
        <f t="shared" si="52"/>
        <v>6.2341723493980634</v>
      </c>
      <c r="V121">
        <f t="shared" si="53"/>
        <v>5.4038462152328481</v>
      </c>
      <c r="W121">
        <f t="shared" si="54"/>
        <v>6.1056656513957375</v>
      </c>
      <c r="X121">
        <f t="shared" si="55"/>
        <v>5.580359618997794</v>
      </c>
      <c r="Y121">
        <f t="shared" si="56"/>
        <v>5.9603572241754561</v>
      </c>
      <c r="Z121">
        <f t="shared" si="57"/>
        <v>5.4023242914308023</v>
      </c>
      <c r="AA121">
        <f t="shared" si="58"/>
        <v>5.4873303262955018</v>
      </c>
      <c r="AB121">
        <f t="shared" si="59"/>
        <v>4.8729654485148188</v>
      </c>
      <c r="AC121">
        <f t="shared" si="60"/>
        <v>4.7279471699467717</v>
      </c>
      <c r="AD121">
        <f t="shared" si="61"/>
        <v>4.8625473726522204</v>
      </c>
      <c r="AE121">
        <f t="shared" si="62"/>
        <v>4.8265095884732201</v>
      </c>
      <c r="AF121">
        <f t="shared" si="63"/>
        <v>4.8921704584028385</v>
      </c>
      <c r="AG121">
        <f t="shared" si="64"/>
        <v>4.6613811482858685</v>
      </c>
      <c r="AH121">
        <f t="shared" si="65"/>
        <v>4.8074349992074543</v>
      </c>
      <c r="AI121">
        <f t="shared" si="66"/>
        <v>4.6846934245132843</v>
      </c>
      <c r="AJ121" t="str">
        <f t="shared" si="67"/>
        <v>C01971</v>
      </c>
      <c r="AL121">
        <f t="shared" si="68"/>
        <v>5.3044110094616377</v>
      </c>
      <c r="AM121">
        <f t="shared" si="69"/>
        <v>0.59657205661497315</v>
      </c>
      <c r="AN121">
        <f t="shared" si="70"/>
        <v>1.7708839079663965</v>
      </c>
      <c r="AO121">
        <f t="shared" si="71"/>
        <v>1.5585063524631233</v>
      </c>
      <c r="AP121">
        <f t="shared" si="72"/>
        <v>0.16667761198105496</v>
      </c>
      <c r="AQ121">
        <f t="shared" si="73"/>
        <v>1.3430978421626418</v>
      </c>
      <c r="AR121">
        <f t="shared" si="74"/>
        <v>0.4625570481827867</v>
      </c>
      <c r="AS121">
        <f t="shared" si="75"/>
        <v>1.0995255433781828</v>
      </c>
      <c r="AT121">
        <f t="shared" si="76"/>
        <v>0.16412649718248154</v>
      </c>
      <c r="AU121">
        <f t="shared" si="77"/>
        <v>0.30661730599949971</v>
      </c>
      <c r="AV121">
        <f t="shared" si="78"/>
        <v>-0.72320779386633804</v>
      </c>
      <c r="AW121">
        <f t="shared" si="79"/>
        <v>-0.96629373287410791</v>
      </c>
      <c r="AX121">
        <f t="shared" si="80"/>
        <v>-0.74067102525151551</v>
      </c>
      <c r="AY121">
        <f t="shared" si="81"/>
        <v>-0.80107912479188503</v>
      </c>
      <c r="AZ121">
        <f t="shared" si="82"/>
        <v>-0.6910155219101366</v>
      </c>
      <c r="BA121">
        <f t="shared" si="83"/>
        <v>-1.0778745904131073</v>
      </c>
      <c r="BB121">
        <f t="shared" si="84"/>
        <v>-0.83305278003480321</v>
      </c>
      <c r="BC121">
        <f t="shared" si="85"/>
        <v>-1.0387975401742933</v>
      </c>
      <c r="BD121" t="str">
        <f t="shared" si="86"/>
        <v>C01971</v>
      </c>
    </row>
    <row r="122" spans="1:56" x14ac:dyDescent="0.2">
      <c r="A122" t="s">
        <v>192</v>
      </c>
      <c r="B122">
        <v>2295466</v>
      </c>
      <c r="C122">
        <v>1714637.625</v>
      </c>
      <c r="D122">
        <v>253423.10939999999</v>
      </c>
      <c r="E122">
        <v>1275456.5</v>
      </c>
      <c r="F122">
        <v>380504.34379999997</v>
      </c>
      <c r="G122">
        <v>912761.3125</v>
      </c>
      <c r="H122">
        <v>252536.57810000001</v>
      </c>
      <c r="I122">
        <v>307135.71879999997</v>
      </c>
      <c r="J122">
        <v>74638.9375</v>
      </c>
      <c r="K122">
        <v>53449.933590000001</v>
      </c>
      <c r="L122">
        <v>72869.765620000006</v>
      </c>
      <c r="M122">
        <v>67067.109379999994</v>
      </c>
      <c r="N122">
        <v>78013.625</v>
      </c>
      <c r="O122">
        <v>45854.414060000003</v>
      </c>
      <c r="P122">
        <v>64185.214840000001</v>
      </c>
      <c r="Q122">
        <v>48383.070310000003</v>
      </c>
      <c r="R122" s="2" t="s">
        <v>391</v>
      </c>
      <c r="S122" s="4" t="s">
        <v>421</v>
      </c>
      <c r="T122">
        <f t="shared" si="51"/>
        <v>6.3608708644635117</v>
      </c>
      <c r="U122">
        <f t="shared" si="52"/>
        <v>6.2341723493980634</v>
      </c>
      <c r="V122">
        <f t="shared" si="53"/>
        <v>5.4038462152328481</v>
      </c>
      <c r="W122">
        <f t="shared" si="54"/>
        <v>6.1056656513957375</v>
      </c>
      <c r="X122">
        <f t="shared" si="55"/>
        <v>5.580359618997794</v>
      </c>
      <c r="Y122">
        <f t="shared" si="56"/>
        <v>5.9603572241754561</v>
      </c>
      <c r="Z122">
        <f t="shared" si="57"/>
        <v>5.4023242914308023</v>
      </c>
      <c r="AA122">
        <f t="shared" si="58"/>
        <v>5.4873303262955018</v>
      </c>
      <c r="AB122">
        <f t="shared" si="59"/>
        <v>4.8729654485148188</v>
      </c>
      <c r="AC122">
        <f t="shared" si="60"/>
        <v>4.7279471699467717</v>
      </c>
      <c r="AD122">
        <f t="shared" si="61"/>
        <v>4.8625473726522204</v>
      </c>
      <c r="AE122">
        <f t="shared" si="62"/>
        <v>4.8265095884732201</v>
      </c>
      <c r="AF122">
        <f t="shared" si="63"/>
        <v>4.8921704584028385</v>
      </c>
      <c r="AG122">
        <f t="shared" si="64"/>
        <v>4.6613811482858685</v>
      </c>
      <c r="AH122">
        <f t="shared" si="65"/>
        <v>4.8074349992074543</v>
      </c>
      <c r="AI122">
        <f t="shared" si="66"/>
        <v>4.6846934245132843</v>
      </c>
      <c r="AJ122" t="str">
        <f t="shared" si="67"/>
        <v>C06422</v>
      </c>
      <c r="AL122">
        <f t="shared" si="68"/>
        <v>5.3044110094616377</v>
      </c>
      <c r="AM122">
        <f t="shared" si="69"/>
        <v>0.59657205661497315</v>
      </c>
      <c r="AN122">
        <f t="shared" si="70"/>
        <v>1.7708839079663965</v>
      </c>
      <c r="AO122">
        <f t="shared" si="71"/>
        <v>1.5585063524631233</v>
      </c>
      <c r="AP122">
        <f t="shared" si="72"/>
        <v>0.16667761198105496</v>
      </c>
      <c r="AQ122">
        <f t="shared" si="73"/>
        <v>1.3430978421626418</v>
      </c>
      <c r="AR122">
        <f t="shared" si="74"/>
        <v>0.4625570481827867</v>
      </c>
      <c r="AS122">
        <f t="shared" si="75"/>
        <v>1.0995255433781828</v>
      </c>
      <c r="AT122">
        <f t="shared" si="76"/>
        <v>0.16412649718248154</v>
      </c>
      <c r="AU122">
        <f t="shared" si="77"/>
        <v>0.30661730599949971</v>
      </c>
      <c r="AV122">
        <f t="shared" si="78"/>
        <v>-0.72320779386633804</v>
      </c>
      <c r="AW122">
        <f t="shared" si="79"/>
        <v>-0.96629373287410791</v>
      </c>
      <c r="AX122">
        <f t="shared" si="80"/>
        <v>-0.74067102525151551</v>
      </c>
      <c r="AY122">
        <f t="shared" si="81"/>
        <v>-0.80107912479188503</v>
      </c>
      <c r="AZ122">
        <f t="shared" si="82"/>
        <v>-0.6910155219101366</v>
      </c>
      <c r="BA122">
        <f t="shared" si="83"/>
        <v>-1.0778745904131073</v>
      </c>
      <c r="BB122">
        <f t="shared" si="84"/>
        <v>-0.83305278003480321</v>
      </c>
      <c r="BC122">
        <f t="shared" si="85"/>
        <v>-1.0387975401742933</v>
      </c>
      <c r="BD122" t="str">
        <f t="shared" si="86"/>
        <v>C06422</v>
      </c>
    </row>
    <row r="123" spans="1:56" x14ac:dyDescent="0.2">
      <c r="A123" t="s">
        <v>195</v>
      </c>
      <c r="B123">
        <v>9586386</v>
      </c>
      <c r="C123">
        <v>8301616.5</v>
      </c>
      <c r="D123">
        <v>14525143</v>
      </c>
      <c r="E123">
        <v>6092362</v>
      </c>
      <c r="F123">
        <v>9891152</v>
      </c>
      <c r="G123">
        <v>6995561.5</v>
      </c>
      <c r="H123">
        <v>9658564</v>
      </c>
      <c r="I123">
        <v>10452749</v>
      </c>
      <c r="J123">
        <v>5203901.5</v>
      </c>
      <c r="K123">
        <v>3863693</v>
      </c>
      <c r="L123">
        <v>4444990</v>
      </c>
      <c r="M123">
        <v>5186443</v>
      </c>
      <c r="N123">
        <v>6098248</v>
      </c>
      <c r="O123">
        <v>7191811</v>
      </c>
      <c r="P123">
        <v>6797465</v>
      </c>
      <c r="Q123">
        <v>6304512</v>
      </c>
      <c r="R123" s="2" t="s">
        <v>196</v>
      </c>
      <c r="S123" s="4" t="s">
        <v>421</v>
      </c>
      <c r="T123">
        <f t="shared" si="51"/>
        <v>6.9816549120639655</v>
      </c>
      <c r="U123">
        <f t="shared" si="52"/>
        <v>6.919162666915212</v>
      </c>
      <c r="V123">
        <f t="shared" si="53"/>
        <v>7.1621204167116082</v>
      </c>
      <c r="W123">
        <f t="shared" si="54"/>
        <v>6.7847857006278289</v>
      </c>
      <c r="X123">
        <f t="shared" si="55"/>
        <v>6.9952468758345097</v>
      </c>
      <c r="Y123">
        <f t="shared" si="56"/>
        <v>6.8448225789514687</v>
      </c>
      <c r="Z123">
        <f t="shared" si="57"/>
        <v>6.984912561898466</v>
      </c>
      <c r="AA123">
        <f t="shared" si="58"/>
        <v>7.0192305218850173</v>
      </c>
      <c r="AB123">
        <f t="shared" si="59"/>
        <v>6.7163290675952911</v>
      </c>
      <c r="AC123">
        <f t="shared" si="60"/>
        <v>6.587002611091596</v>
      </c>
      <c r="AD123">
        <f t="shared" si="61"/>
        <v>6.6478707882646795</v>
      </c>
      <c r="AE123">
        <f t="shared" si="62"/>
        <v>6.7148696092784252</v>
      </c>
      <c r="AF123">
        <f t="shared" si="63"/>
        <v>6.785205082023694</v>
      </c>
      <c r="AG123">
        <f t="shared" si="64"/>
        <v>6.8568382656640461</v>
      </c>
      <c r="AH123">
        <f t="shared" si="65"/>
        <v>6.8323469800924173</v>
      </c>
      <c r="AI123">
        <f t="shared" si="66"/>
        <v>6.7996514756974609</v>
      </c>
      <c r="AJ123" t="str">
        <f t="shared" si="67"/>
        <v>C00037</v>
      </c>
      <c r="AL123">
        <f t="shared" si="68"/>
        <v>6.8520031321622312</v>
      </c>
      <c r="AM123">
        <f t="shared" si="69"/>
        <v>0.15164254249270936</v>
      </c>
      <c r="AN123">
        <f t="shared" si="70"/>
        <v>0.85498289444710174</v>
      </c>
      <c r="AO123">
        <f t="shared" si="71"/>
        <v>0.44288056404890225</v>
      </c>
      <c r="AP123">
        <f t="shared" si="72"/>
        <v>2.045054636064854</v>
      </c>
      <c r="AQ123">
        <f t="shared" si="73"/>
        <v>-0.44326236179820028</v>
      </c>
      <c r="AR123">
        <f t="shared" si="74"/>
        <v>0.94461449483521598</v>
      </c>
      <c r="AS123">
        <f t="shared" si="75"/>
        <v>-4.7351838690700677E-2</v>
      </c>
      <c r="AT123">
        <f t="shared" si="76"/>
        <v>0.87646532135020583</v>
      </c>
      <c r="AU123">
        <f t="shared" si="77"/>
        <v>1.1027735817000428</v>
      </c>
      <c r="AV123">
        <f t="shared" si="78"/>
        <v>-0.89469658274466746</v>
      </c>
      <c r="AW123">
        <f t="shared" si="79"/>
        <v>-1.7475341465168051</v>
      </c>
      <c r="AX123">
        <f t="shared" si="80"/>
        <v>-1.34614166013054</v>
      </c>
      <c r="AY123">
        <f t="shared" si="81"/>
        <v>-0.90432091568498363</v>
      </c>
      <c r="AZ123">
        <f t="shared" si="82"/>
        <v>-0.44049676984114622</v>
      </c>
      <c r="BA123">
        <f t="shared" si="83"/>
        <v>3.1885072766089512E-2</v>
      </c>
      <c r="BB123">
        <f t="shared" si="84"/>
        <v>-0.12962162033625224</v>
      </c>
      <c r="BC123">
        <f t="shared" si="85"/>
        <v>-0.34523066946920461</v>
      </c>
      <c r="BD123" t="str">
        <f t="shared" si="86"/>
        <v>C00037</v>
      </c>
    </row>
    <row r="124" spans="1:56" x14ac:dyDescent="0.2">
      <c r="A124" t="s">
        <v>197</v>
      </c>
      <c r="B124">
        <v>368680192</v>
      </c>
      <c r="C124">
        <v>468221728</v>
      </c>
      <c r="D124">
        <v>293516768</v>
      </c>
      <c r="E124">
        <v>337707232</v>
      </c>
      <c r="F124">
        <v>286619808</v>
      </c>
      <c r="G124">
        <v>315637536</v>
      </c>
      <c r="H124">
        <v>264356160</v>
      </c>
      <c r="I124">
        <v>328559872</v>
      </c>
      <c r="J124">
        <v>206328640</v>
      </c>
      <c r="K124">
        <v>143390848</v>
      </c>
      <c r="L124">
        <v>171505296</v>
      </c>
      <c r="M124">
        <v>227836448</v>
      </c>
      <c r="N124">
        <v>206170112</v>
      </c>
      <c r="O124">
        <v>226090592</v>
      </c>
      <c r="P124">
        <v>253056848</v>
      </c>
      <c r="Q124">
        <v>219256320</v>
      </c>
      <c r="R124" s="2" t="s">
        <v>198</v>
      </c>
      <c r="S124" s="4" t="s">
        <v>421</v>
      </c>
      <c r="T124">
        <f t="shared" si="51"/>
        <v>8.5666498049883089</v>
      </c>
      <c r="U124">
        <f t="shared" si="52"/>
        <v>8.670451563422013</v>
      </c>
      <c r="V124">
        <f t="shared" si="53"/>
        <v>8.4676329166291477</v>
      </c>
      <c r="W124">
        <f t="shared" si="54"/>
        <v>8.5285403611508475</v>
      </c>
      <c r="X124">
        <f t="shared" si="55"/>
        <v>8.4573062007432362</v>
      </c>
      <c r="Y124">
        <f t="shared" si="56"/>
        <v>8.499188644437023</v>
      </c>
      <c r="Z124">
        <f t="shared" si="57"/>
        <v>8.422189434744304</v>
      </c>
      <c r="AA124">
        <f t="shared" si="58"/>
        <v>8.5166145206536541</v>
      </c>
      <c r="AB124">
        <f t="shared" si="59"/>
        <v>8.3145595155672538</v>
      </c>
      <c r="AC124">
        <f t="shared" si="60"/>
        <v>8.1565214331313758</v>
      </c>
      <c r="AD124">
        <f t="shared" si="61"/>
        <v>8.2342775353879087</v>
      </c>
      <c r="AE124">
        <f t="shared" si="62"/>
        <v>8.3576232013018092</v>
      </c>
      <c r="AF124">
        <f t="shared" si="63"/>
        <v>8.3142257068530085</v>
      </c>
      <c r="AG124">
        <f t="shared" si="64"/>
        <v>8.3542824910163294</v>
      </c>
      <c r="AH124">
        <f t="shared" si="65"/>
        <v>8.4032180942959478</v>
      </c>
      <c r="AI124">
        <f t="shared" si="66"/>
        <v>8.3409521206313144</v>
      </c>
      <c r="AJ124" t="str">
        <f t="shared" si="67"/>
        <v>C00064</v>
      </c>
      <c r="AL124">
        <f t="shared" si="68"/>
        <v>8.4127645965595939</v>
      </c>
      <c r="AM124">
        <f t="shared" si="69"/>
        <v>0.13048773465033961</v>
      </c>
      <c r="AN124">
        <f t="shared" si="70"/>
        <v>1.179307839476808</v>
      </c>
      <c r="AO124">
        <f t="shared" si="71"/>
        <v>1.974798378965869</v>
      </c>
      <c r="AP124">
        <f t="shared" si="72"/>
        <v>0.42048641749035903</v>
      </c>
      <c r="AQ124">
        <f t="shared" si="73"/>
        <v>0.88725400055025239</v>
      </c>
      <c r="AR124">
        <f t="shared" si="74"/>
        <v>0.3413470568938754</v>
      </c>
      <c r="AS124">
        <f t="shared" si="75"/>
        <v>0.66231548972027665</v>
      </c>
      <c r="AT124">
        <f t="shared" si="76"/>
        <v>7.2227770755353929E-2</v>
      </c>
      <c r="AU124">
        <f t="shared" si="77"/>
        <v>0.7958596597016635</v>
      </c>
      <c r="AV124">
        <f t="shared" si="78"/>
        <v>-0.75260009115411874</v>
      </c>
      <c r="AW124">
        <f t="shared" si="79"/>
        <v>-1.9637337111787401</v>
      </c>
      <c r="AX124">
        <f t="shared" si="80"/>
        <v>-1.3678455040235507</v>
      </c>
      <c r="AY124">
        <f t="shared" si="81"/>
        <v>-0.42257914435823257</v>
      </c>
      <c r="AZ124">
        <f t="shared" si="82"/>
        <v>-0.75515825277091553</v>
      </c>
      <c r="BA124">
        <f t="shared" si="83"/>
        <v>-0.44818086312844341</v>
      </c>
      <c r="BB124">
        <f t="shared" si="84"/>
        <v>-7.3160150179840802E-2</v>
      </c>
      <c r="BC124">
        <f t="shared" si="85"/>
        <v>-0.55033889676076575</v>
      </c>
      <c r="BD124" t="str">
        <f t="shared" si="86"/>
        <v>C00064</v>
      </c>
    </row>
    <row r="125" spans="1:56" x14ac:dyDescent="0.2">
      <c r="A125" t="s">
        <v>199</v>
      </c>
      <c r="B125">
        <v>85191848</v>
      </c>
      <c r="C125">
        <v>69846216</v>
      </c>
      <c r="D125">
        <v>78832064</v>
      </c>
      <c r="E125">
        <v>77302640</v>
      </c>
      <c r="F125">
        <v>83077896</v>
      </c>
      <c r="G125">
        <v>79737792</v>
      </c>
      <c r="H125">
        <v>72853984</v>
      </c>
      <c r="I125">
        <v>82419080</v>
      </c>
      <c r="J125">
        <v>46333868</v>
      </c>
      <c r="K125">
        <v>33065434</v>
      </c>
      <c r="L125">
        <v>32387092</v>
      </c>
      <c r="M125">
        <v>42623236</v>
      </c>
      <c r="N125">
        <v>40813920</v>
      </c>
      <c r="O125">
        <v>45761144</v>
      </c>
      <c r="P125">
        <v>40860204</v>
      </c>
      <c r="Q125">
        <v>42836340</v>
      </c>
      <c r="R125" s="2" t="s">
        <v>200</v>
      </c>
      <c r="S125" s="4" t="s">
        <v>421</v>
      </c>
      <c r="T125">
        <f t="shared" si="51"/>
        <v>7.9303980391563735</v>
      </c>
      <c r="U125">
        <f t="shared" si="52"/>
        <v>7.8441428826787698</v>
      </c>
      <c r="V125">
        <f t="shared" si="53"/>
        <v>7.8967028975139923</v>
      </c>
      <c r="W125">
        <f t="shared" si="54"/>
        <v>7.8881943259733571</v>
      </c>
      <c r="X125">
        <f t="shared" si="55"/>
        <v>7.9194854892212643</v>
      </c>
      <c r="Y125">
        <f t="shared" si="56"/>
        <v>7.9016642055489417</v>
      </c>
      <c r="Z125">
        <f t="shared" si="57"/>
        <v>7.8624533060292281</v>
      </c>
      <c r="AA125">
        <f t="shared" si="58"/>
        <v>7.9160277624191773</v>
      </c>
      <c r="AB125">
        <f t="shared" si="59"/>
        <v>7.6658985570763729</v>
      </c>
      <c r="AC125">
        <f t="shared" si="60"/>
        <v>7.5193742274049837</v>
      </c>
      <c r="AD125">
        <f t="shared" si="61"/>
        <v>7.5103719549552181</v>
      </c>
      <c r="AE125">
        <f t="shared" si="62"/>
        <v>7.6296464187144863</v>
      </c>
      <c r="AF125">
        <f t="shared" si="63"/>
        <v>7.6108083088779201</v>
      </c>
      <c r="AG125">
        <f t="shared" si="64"/>
        <v>7.6604968730113008</v>
      </c>
      <c r="AH125">
        <f t="shared" si="65"/>
        <v>7.6113005305747734</v>
      </c>
      <c r="AI125">
        <f t="shared" si="66"/>
        <v>7.6318123569845797</v>
      </c>
      <c r="AJ125" t="str">
        <f t="shared" si="67"/>
        <v>C00065</v>
      </c>
      <c r="AL125">
        <f t="shared" si="68"/>
        <v>7.7499236335087955</v>
      </c>
      <c r="AM125">
        <f t="shared" si="69"/>
        <v>0.15635917247780728</v>
      </c>
      <c r="AN125">
        <f t="shared" si="70"/>
        <v>1.1542297313782055</v>
      </c>
      <c r="AO125">
        <f t="shared" si="71"/>
        <v>0.60258216820217048</v>
      </c>
      <c r="AP125">
        <f t="shared" si="72"/>
        <v>0.9387313943864074</v>
      </c>
      <c r="AQ125">
        <f t="shared" si="73"/>
        <v>0.88431455778001722</v>
      </c>
      <c r="AR125">
        <f t="shared" si="74"/>
        <v>1.0844381754229055</v>
      </c>
      <c r="AS125">
        <f t="shared" si="75"/>
        <v>0.97046159579594415</v>
      </c>
      <c r="AT125">
        <f t="shared" si="76"/>
        <v>0.71968705600820682</v>
      </c>
      <c r="AU125">
        <f t="shared" si="77"/>
        <v>1.0623241750269405</v>
      </c>
      <c r="AV125">
        <f t="shared" si="78"/>
        <v>-0.537385016183484</v>
      </c>
      <c r="AW125">
        <f t="shared" si="79"/>
        <v>-1.4744859700286188</v>
      </c>
      <c r="AX125">
        <f t="shared" si="80"/>
        <v>-1.5320602863102128</v>
      </c>
      <c r="AY125">
        <f t="shared" si="81"/>
        <v>-0.76923670602938654</v>
      </c>
      <c r="AZ125">
        <f t="shared" si="82"/>
        <v>-0.8897164293359292</v>
      </c>
      <c r="BA125">
        <f t="shared" si="83"/>
        <v>-0.57193165632919607</v>
      </c>
      <c r="BB125">
        <f t="shared" si="84"/>
        <v>-0.88656841000931685</v>
      </c>
      <c r="BC125">
        <f t="shared" si="85"/>
        <v>-0.75538437977458506</v>
      </c>
      <c r="BD125" t="str">
        <f t="shared" si="86"/>
        <v>C00065</v>
      </c>
    </row>
    <row r="126" spans="1:56" x14ac:dyDescent="0.2">
      <c r="A126" t="s">
        <v>201</v>
      </c>
      <c r="B126">
        <v>971326.375</v>
      </c>
      <c r="C126">
        <v>846977.75</v>
      </c>
      <c r="D126">
        <v>1051625.625</v>
      </c>
      <c r="E126">
        <v>621998.9375</v>
      </c>
      <c r="F126">
        <v>722863.5625</v>
      </c>
      <c r="G126">
        <v>467432.09379999997</v>
      </c>
      <c r="H126">
        <v>533975.1875</v>
      </c>
      <c r="I126">
        <v>639160.625</v>
      </c>
      <c r="J126">
        <v>506487.53120000003</v>
      </c>
      <c r="K126">
        <v>390177.21879999997</v>
      </c>
      <c r="L126">
        <v>380602.3125</v>
      </c>
      <c r="M126">
        <v>481754.5</v>
      </c>
      <c r="N126">
        <v>494680.65620000003</v>
      </c>
      <c r="O126">
        <v>514044.5625</v>
      </c>
      <c r="P126">
        <v>619319.6875</v>
      </c>
      <c r="Q126">
        <v>591807.3125</v>
      </c>
      <c r="R126" s="2" t="s">
        <v>202</v>
      </c>
      <c r="S126" s="4" t="s">
        <v>421</v>
      </c>
      <c r="T126">
        <f t="shared" si="51"/>
        <v>5.9873651815510343</v>
      </c>
      <c r="U126">
        <f t="shared" si="52"/>
        <v>5.9278720016186117</v>
      </c>
      <c r="V126">
        <f t="shared" si="53"/>
        <v>6.0218611600327563</v>
      </c>
      <c r="W126">
        <f t="shared" si="54"/>
        <v>5.7937896428286306</v>
      </c>
      <c r="X126">
        <f t="shared" si="55"/>
        <v>5.8590563337468113</v>
      </c>
      <c r="Y126">
        <f t="shared" si="56"/>
        <v>5.6697185276576985</v>
      </c>
      <c r="Z126">
        <f t="shared" si="57"/>
        <v>5.7275210769120886</v>
      </c>
      <c r="AA126">
        <f t="shared" si="58"/>
        <v>5.8056100127515844</v>
      </c>
      <c r="AB126">
        <f t="shared" si="59"/>
        <v>5.7045687582892102</v>
      </c>
      <c r="AC126">
        <f t="shared" si="60"/>
        <v>5.5912619087328261</v>
      </c>
      <c r="AD126">
        <f t="shared" si="61"/>
        <v>5.5804714226870455</v>
      </c>
      <c r="AE126">
        <f t="shared" si="62"/>
        <v>5.6828257800291846</v>
      </c>
      <c r="AF126">
        <f t="shared" si="63"/>
        <v>5.6943249282136863</v>
      </c>
      <c r="AG126">
        <f t="shared" si="64"/>
        <v>5.7110007695963638</v>
      </c>
      <c r="AH126">
        <f t="shared" si="65"/>
        <v>5.7919148859787475</v>
      </c>
      <c r="AI126">
        <f t="shared" si="66"/>
        <v>5.7721803270949392</v>
      </c>
      <c r="AJ126" t="str">
        <f t="shared" si="67"/>
        <v>C00099</v>
      </c>
      <c r="AL126">
        <f t="shared" si="68"/>
        <v>5.7700839198575773</v>
      </c>
      <c r="AM126">
        <f t="shared" si="69"/>
        <v>0.12823744285081198</v>
      </c>
      <c r="AN126">
        <f t="shared" si="70"/>
        <v>1.6943667688869637</v>
      </c>
      <c r="AO126">
        <f t="shared" si="71"/>
        <v>1.230436900902655</v>
      </c>
      <c r="AP126">
        <f t="shared" si="72"/>
        <v>1.9633675982457786</v>
      </c>
      <c r="AQ126">
        <f t="shared" si="73"/>
        <v>0.18485804492087338</v>
      </c>
      <c r="AR126">
        <f t="shared" si="74"/>
        <v>0.69380995059876682</v>
      </c>
      <c r="AS126">
        <f t="shared" si="75"/>
        <v>-0.78265278820820883</v>
      </c>
      <c r="AT126">
        <f t="shared" si="76"/>
        <v>-0.33190651653125375</v>
      </c>
      <c r="AU126">
        <f t="shared" si="77"/>
        <v>0.27703369705630521</v>
      </c>
      <c r="AV126">
        <f t="shared" si="78"/>
        <v>-0.51088948837342074</v>
      </c>
      <c r="AW126">
        <f t="shared" si="79"/>
        <v>-1.3944602071704433</v>
      </c>
      <c r="AX126">
        <f t="shared" si="80"/>
        <v>-1.4786047893291343</v>
      </c>
      <c r="AY126">
        <f t="shared" si="81"/>
        <v>-0.68044198237722575</v>
      </c>
      <c r="AZ126">
        <f t="shared" si="82"/>
        <v>-0.59077122843151963</v>
      </c>
      <c r="BA126">
        <f t="shared" si="83"/>
        <v>-0.46073244247352335</v>
      </c>
      <c r="BB126">
        <f t="shared" si="84"/>
        <v>0.17023862637816128</v>
      </c>
      <c r="BC126">
        <f t="shared" si="85"/>
        <v>1.6347855905087208E-2</v>
      </c>
      <c r="BD126" t="str">
        <f t="shared" si="86"/>
        <v>C00099</v>
      </c>
    </row>
    <row r="127" spans="1:56" x14ac:dyDescent="0.2">
      <c r="A127" t="s">
        <v>203</v>
      </c>
      <c r="B127">
        <v>4843910.5</v>
      </c>
      <c r="C127">
        <v>2918127</v>
      </c>
      <c r="D127">
        <v>9222374</v>
      </c>
      <c r="E127">
        <v>3166914</v>
      </c>
      <c r="F127">
        <v>6299131.5</v>
      </c>
      <c r="G127">
        <v>3584330.25</v>
      </c>
      <c r="H127">
        <v>6612962.5</v>
      </c>
      <c r="I127">
        <v>7858299</v>
      </c>
      <c r="J127">
        <v>26231932</v>
      </c>
      <c r="K127">
        <v>19024524</v>
      </c>
      <c r="L127">
        <v>24086494</v>
      </c>
      <c r="M127">
        <v>30916652</v>
      </c>
      <c r="N127">
        <v>11594440</v>
      </c>
      <c r="O127">
        <v>17079180</v>
      </c>
      <c r="P127">
        <v>12299437</v>
      </c>
      <c r="Q127">
        <v>11606512</v>
      </c>
      <c r="R127" s="2" t="s">
        <v>204</v>
      </c>
      <c r="S127" s="4" t="s">
        <v>421</v>
      </c>
      <c r="T127">
        <f t="shared" si="51"/>
        <v>6.6851961101697723</v>
      </c>
      <c r="U127">
        <f t="shared" si="52"/>
        <v>6.4651041889278833</v>
      </c>
      <c r="V127">
        <f t="shared" si="53"/>
        <v>6.9648427304232614</v>
      </c>
      <c r="W127">
        <f t="shared" si="54"/>
        <v>6.5006362699293589</v>
      </c>
      <c r="X127">
        <f t="shared" si="55"/>
        <v>6.7992806747299737</v>
      </c>
      <c r="Y127">
        <f t="shared" si="56"/>
        <v>6.554408017492606</v>
      </c>
      <c r="Z127">
        <f t="shared" si="57"/>
        <v>6.8203960599655504</v>
      </c>
      <c r="AA127">
        <f t="shared" si="58"/>
        <v>6.8953285492377692</v>
      </c>
      <c r="AB127">
        <f t="shared" si="59"/>
        <v>7.4188302778583566</v>
      </c>
      <c r="AC127">
        <f t="shared" si="60"/>
        <v>7.2793137993842914</v>
      </c>
      <c r="AD127">
        <f t="shared" si="61"/>
        <v>7.3817735892360057</v>
      </c>
      <c r="AE127">
        <f t="shared" si="62"/>
        <v>7.4901924575408794</v>
      </c>
      <c r="AF127">
        <f t="shared" si="63"/>
        <v>7.0642497774860331</v>
      </c>
      <c r="AG127">
        <f t="shared" si="64"/>
        <v>7.2324670156490036</v>
      </c>
      <c r="AH127">
        <f t="shared" si="65"/>
        <v>7.0898852323020538</v>
      </c>
      <c r="AI127">
        <f t="shared" si="66"/>
        <v>7.0647017247560138</v>
      </c>
      <c r="AJ127" t="str">
        <f t="shared" si="67"/>
        <v>C00334</v>
      </c>
      <c r="AL127">
        <f t="shared" si="68"/>
        <v>6.9816629046930521</v>
      </c>
      <c r="AM127">
        <f t="shared" si="69"/>
        <v>0.32887674347918566</v>
      </c>
      <c r="AN127">
        <f t="shared" si="70"/>
        <v>-0.90145259706405134</v>
      </c>
      <c r="AO127">
        <f t="shared" si="71"/>
        <v>-1.5706757197255614</v>
      </c>
      <c r="AP127">
        <f t="shared" si="72"/>
        <v>-5.114431045457974E-2</v>
      </c>
      <c r="AQ127">
        <f t="shared" si="73"/>
        <v>-1.4626349971570334</v>
      </c>
      <c r="AR127">
        <f t="shared" si="74"/>
        <v>-0.55456104324573874</v>
      </c>
      <c r="AS127">
        <f t="shared" si="75"/>
        <v>-1.2991337808825227</v>
      </c>
      <c r="AT127">
        <f t="shared" si="76"/>
        <v>-0.49035648742279669</v>
      </c>
      <c r="AU127">
        <f t="shared" si="77"/>
        <v>-0.26251280203626476</v>
      </c>
      <c r="AV127">
        <f t="shared" si="78"/>
        <v>1.3292742093603602</v>
      </c>
      <c r="AW127">
        <f t="shared" si="79"/>
        <v>0.9050530345879485</v>
      </c>
      <c r="AX127">
        <f t="shared" si="80"/>
        <v>1.2165976843183997</v>
      </c>
      <c r="AY127">
        <f t="shared" si="81"/>
        <v>1.5462618227974874</v>
      </c>
      <c r="AZ127">
        <f t="shared" si="82"/>
        <v>0.25111800828266201</v>
      </c>
      <c r="BA127">
        <f t="shared" si="83"/>
        <v>0.76260822915812154</v>
      </c>
      <c r="BB127">
        <f t="shared" si="84"/>
        <v>0.32906652645644141</v>
      </c>
      <c r="BC127">
        <f t="shared" si="85"/>
        <v>0.25249222302706598</v>
      </c>
      <c r="BD127" t="str">
        <f t="shared" si="86"/>
        <v>C00334</v>
      </c>
    </row>
    <row r="128" spans="1:56" x14ac:dyDescent="0.2">
      <c r="A128" t="s">
        <v>205</v>
      </c>
      <c r="B128">
        <v>53555596</v>
      </c>
      <c r="C128">
        <v>57014968</v>
      </c>
      <c r="D128">
        <v>54685228</v>
      </c>
      <c r="E128">
        <v>46318028</v>
      </c>
      <c r="F128">
        <v>36717876</v>
      </c>
      <c r="G128">
        <v>39636968</v>
      </c>
      <c r="H128">
        <v>40721992</v>
      </c>
      <c r="I128">
        <v>47755732</v>
      </c>
      <c r="J128">
        <v>22849032</v>
      </c>
      <c r="K128">
        <v>14438478</v>
      </c>
      <c r="L128">
        <v>14723045</v>
      </c>
      <c r="M128">
        <v>21169936</v>
      </c>
      <c r="N128">
        <v>17898334</v>
      </c>
      <c r="O128">
        <v>24778046</v>
      </c>
      <c r="P128">
        <v>22983558</v>
      </c>
      <c r="Q128">
        <v>17786742</v>
      </c>
      <c r="R128" s="2" t="s">
        <v>206</v>
      </c>
      <c r="S128" s="4" t="s">
        <v>421</v>
      </c>
      <c r="T128">
        <f t="shared" si="51"/>
        <v>7.7288048567728271</v>
      </c>
      <c r="U128">
        <f t="shared" si="52"/>
        <v>7.7559888849084153</v>
      </c>
      <c r="V128">
        <f t="shared" si="53"/>
        <v>7.7378700271652896</v>
      </c>
      <c r="W128">
        <f t="shared" si="54"/>
        <v>7.6657500609320444</v>
      </c>
      <c r="X128">
        <f t="shared" si="55"/>
        <v>7.5648775508473136</v>
      </c>
      <c r="Y128">
        <f t="shared" si="56"/>
        <v>7.5981004260546374</v>
      </c>
      <c r="Z128">
        <f t="shared" si="57"/>
        <v>7.6098290142562117</v>
      </c>
      <c r="AA128">
        <f t="shared" si="58"/>
        <v>7.6790255063190855</v>
      </c>
      <c r="AB128">
        <f t="shared" si="59"/>
        <v>7.3588678058954349</v>
      </c>
      <c r="AC128">
        <f t="shared" si="60"/>
        <v>7.1595214154608398</v>
      </c>
      <c r="AD128">
        <f t="shared" si="61"/>
        <v>7.1679976394808778</v>
      </c>
      <c r="AE128">
        <f t="shared" si="62"/>
        <v>7.3257195450818182</v>
      </c>
      <c r="AF128">
        <f t="shared" si="63"/>
        <v>7.2528126081709781</v>
      </c>
      <c r="AG128">
        <f t="shared" si="64"/>
        <v>7.3940670548698444</v>
      </c>
      <c r="AH128">
        <f t="shared" si="65"/>
        <v>7.3614172610866246</v>
      </c>
      <c r="AI128">
        <f t="shared" si="66"/>
        <v>7.2500964055881001</v>
      </c>
      <c r="AJ128" t="str">
        <f t="shared" si="67"/>
        <v>C00152</v>
      </c>
      <c r="AL128">
        <f t="shared" si="68"/>
        <v>7.4756716289306473</v>
      </c>
      <c r="AM128">
        <f t="shared" si="69"/>
        <v>0.21304713236409009</v>
      </c>
      <c r="AN128">
        <f t="shared" si="70"/>
        <v>1.1881559964373705</v>
      </c>
      <c r="AO128">
        <f t="shared" si="71"/>
        <v>1.3157523073284818</v>
      </c>
      <c r="AP128">
        <f t="shared" si="72"/>
        <v>1.2307060664236231</v>
      </c>
      <c r="AQ128">
        <f t="shared" si="73"/>
        <v>0.89218958214635657</v>
      </c>
      <c r="AR128">
        <f t="shared" si="74"/>
        <v>0.41871449254813964</v>
      </c>
      <c r="AS128">
        <f t="shared" si="75"/>
        <v>0.5746559259702384</v>
      </c>
      <c r="AT128">
        <f t="shared" si="76"/>
        <v>0.6297075385942964</v>
      </c>
      <c r="AU128">
        <f t="shared" si="77"/>
        <v>0.95450182845415443</v>
      </c>
      <c r="AV128">
        <f t="shared" si="78"/>
        <v>-0.54825343922301084</v>
      </c>
      <c r="AW128">
        <f t="shared" si="79"/>
        <v>-1.483944937261666</v>
      </c>
      <c r="AX128">
        <f t="shared" si="80"/>
        <v>-1.4441592620170332</v>
      </c>
      <c r="AY128">
        <f t="shared" si="81"/>
        <v>-0.70384464782453027</v>
      </c>
      <c r="AZ128">
        <f t="shared" si="82"/>
        <v>-1.0460550127415513</v>
      </c>
      <c r="BA128">
        <f t="shared" si="83"/>
        <v>-0.38303530845626937</v>
      </c>
      <c r="BB128">
        <f t="shared" si="84"/>
        <v>-0.5362868139842687</v>
      </c>
      <c r="BC128">
        <f t="shared" si="85"/>
        <v>-1.0588043163943979</v>
      </c>
      <c r="BD128" t="str">
        <f t="shared" si="86"/>
        <v>C00152</v>
      </c>
    </row>
    <row r="129" spans="1:56" x14ac:dyDescent="0.2">
      <c r="A129" t="s">
        <v>203</v>
      </c>
      <c r="B129">
        <v>4843910.5</v>
      </c>
      <c r="C129">
        <v>2918127</v>
      </c>
      <c r="D129">
        <v>9222374</v>
      </c>
      <c r="E129">
        <v>3166914</v>
      </c>
      <c r="F129">
        <v>6299131.5</v>
      </c>
      <c r="G129">
        <v>3584330.25</v>
      </c>
      <c r="H129">
        <v>6612962.5</v>
      </c>
      <c r="I129">
        <v>7858299</v>
      </c>
      <c r="J129">
        <v>26231932</v>
      </c>
      <c r="K129">
        <v>19024524</v>
      </c>
      <c r="L129">
        <v>24086494</v>
      </c>
      <c r="M129">
        <v>30916652</v>
      </c>
      <c r="N129">
        <v>11594440</v>
      </c>
      <c r="O129">
        <v>17079180</v>
      </c>
      <c r="P129">
        <v>12299437</v>
      </c>
      <c r="Q129">
        <v>11606512</v>
      </c>
      <c r="R129" s="2" t="s">
        <v>204</v>
      </c>
      <c r="S129" s="4" t="s">
        <v>421</v>
      </c>
      <c r="T129">
        <f t="shared" si="51"/>
        <v>6.6851961101697723</v>
      </c>
      <c r="U129">
        <f t="shared" si="52"/>
        <v>6.4651041889278833</v>
      </c>
      <c r="V129">
        <f t="shared" si="53"/>
        <v>6.9648427304232614</v>
      </c>
      <c r="W129">
        <f t="shared" si="54"/>
        <v>6.5006362699293589</v>
      </c>
      <c r="X129">
        <f t="shared" si="55"/>
        <v>6.7992806747299737</v>
      </c>
      <c r="Y129">
        <f t="shared" si="56"/>
        <v>6.554408017492606</v>
      </c>
      <c r="Z129">
        <f t="shared" si="57"/>
        <v>6.8203960599655504</v>
      </c>
      <c r="AA129">
        <f t="shared" si="58"/>
        <v>6.8953285492377692</v>
      </c>
      <c r="AB129">
        <f t="shared" si="59"/>
        <v>7.4188302778583566</v>
      </c>
      <c r="AC129">
        <f t="shared" si="60"/>
        <v>7.2793137993842914</v>
      </c>
      <c r="AD129">
        <f t="shared" si="61"/>
        <v>7.3817735892360057</v>
      </c>
      <c r="AE129">
        <f t="shared" si="62"/>
        <v>7.4901924575408794</v>
      </c>
      <c r="AF129">
        <f t="shared" si="63"/>
        <v>7.0642497774860331</v>
      </c>
      <c r="AG129">
        <f t="shared" si="64"/>
        <v>7.2324670156490036</v>
      </c>
      <c r="AH129">
        <f t="shared" si="65"/>
        <v>7.0898852323020538</v>
      </c>
      <c r="AI129">
        <f t="shared" si="66"/>
        <v>7.0647017247560138</v>
      </c>
      <c r="AJ129" t="str">
        <f t="shared" si="67"/>
        <v>C00334</v>
      </c>
      <c r="AL129">
        <f t="shared" si="68"/>
        <v>6.9816629046930521</v>
      </c>
      <c r="AM129">
        <f t="shared" si="69"/>
        <v>0.32887674347918566</v>
      </c>
      <c r="AN129">
        <f t="shared" si="70"/>
        <v>-0.90145259706405134</v>
      </c>
      <c r="AO129">
        <f t="shared" si="71"/>
        <v>-1.5706757197255614</v>
      </c>
      <c r="AP129">
        <f t="shared" si="72"/>
        <v>-5.114431045457974E-2</v>
      </c>
      <c r="AQ129">
        <f t="shared" si="73"/>
        <v>-1.4626349971570334</v>
      </c>
      <c r="AR129">
        <f t="shared" si="74"/>
        <v>-0.55456104324573874</v>
      </c>
      <c r="AS129">
        <f t="shared" si="75"/>
        <v>-1.2991337808825227</v>
      </c>
      <c r="AT129">
        <f t="shared" si="76"/>
        <v>-0.49035648742279669</v>
      </c>
      <c r="AU129">
        <f t="shared" si="77"/>
        <v>-0.26251280203626476</v>
      </c>
      <c r="AV129">
        <f t="shared" si="78"/>
        <v>1.3292742093603602</v>
      </c>
      <c r="AW129">
        <f t="shared" si="79"/>
        <v>0.9050530345879485</v>
      </c>
      <c r="AX129">
        <f t="shared" si="80"/>
        <v>1.2165976843183997</v>
      </c>
      <c r="AY129">
        <f t="shared" si="81"/>
        <v>1.5462618227974874</v>
      </c>
      <c r="AZ129">
        <f t="shared" si="82"/>
        <v>0.25111800828266201</v>
      </c>
      <c r="BA129">
        <f t="shared" si="83"/>
        <v>0.76260822915812154</v>
      </c>
      <c r="BB129">
        <f t="shared" si="84"/>
        <v>0.32906652645644141</v>
      </c>
      <c r="BC129">
        <f t="shared" si="85"/>
        <v>0.25249222302706598</v>
      </c>
      <c r="BD129" t="str">
        <f t="shared" si="86"/>
        <v>C00334</v>
      </c>
    </row>
    <row r="130" spans="1:56" x14ac:dyDescent="0.2">
      <c r="A130" t="s">
        <v>207</v>
      </c>
      <c r="B130">
        <v>90664656</v>
      </c>
      <c r="C130">
        <v>78958976</v>
      </c>
      <c r="D130">
        <v>53484656</v>
      </c>
      <c r="E130">
        <v>33281136</v>
      </c>
      <c r="F130">
        <v>45211608</v>
      </c>
      <c r="G130">
        <v>28885468</v>
      </c>
      <c r="H130">
        <v>29729652</v>
      </c>
      <c r="I130">
        <v>29403022</v>
      </c>
      <c r="J130">
        <v>21606818</v>
      </c>
      <c r="K130">
        <v>14252908</v>
      </c>
      <c r="L130">
        <v>15330754</v>
      </c>
      <c r="M130">
        <v>17572900</v>
      </c>
      <c r="N130">
        <v>26406988</v>
      </c>
      <c r="O130">
        <v>26186110</v>
      </c>
      <c r="P130">
        <v>26270314</v>
      </c>
      <c r="Q130">
        <v>25511136</v>
      </c>
      <c r="R130" s="2" t="s">
        <v>393</v>
      </c>
      <c r="S130" s="4" t="s">
        <v>421</v>
      </c>
      <c r="T130">
        <f t="shared" si="51"/>
        <v>7.9574380180889381</v>
      </c>
      <c r="U130">
        <f t="shared" si="52"/>
        <v>7.897401507437249</v>
      </c>
      <c r="V130">
        <f t="shared" si="53"/>
        <v>7.7282292068751248</v>
      </c>
      <c r="W130">
        <f t="shared" si="54"/>
        <v>7.5221981418407813</v>
      </c>
      <c r="X130">
        <f t="shared" si="55"/>
        <v>7.6552499534644651</v>
      </c>
      <c r="Y130">
        <f t="shared" si="56"/>
        <v>7.460679408338259</v>
      </c>
      <c r="Z130">
        <f t="shared" si="57"/>
        <v>7.4731898256070819</v>
      </c>
      <c r="AA130">
        <f t="shared" si="58"/>
        <v>7.4683919688637479</v>
      </c>
      <c r="AB130">
        <f t="shared" si="59"/>
        <v>7.3345908137692515</v>
      </c>
      <c r="AC130">
        <f t="shared" si="60"/>
        <v>7.1539034818538552</v>
      </c>
      <c r="AD130">
        <f t="shared" si="61"/>
        <v>7.1855635149317836</v>
      </c>
      <c r="AE130">
        <f t="shared" si="62"/>
        <v>7.2448434376518094</v>
      </c>
      <c r="AF130">
        <f t="shared" si="63"/>
        <v>7.4217188680915216</v>
      </c>
      <c r="AG130">
        <f t="shared" si="64"/>
        <v>7.4180709878864501</v>
      </c>
      <c r="AH130">
        <f t="shared" si="65"/>
        <v>7.4194652637892045</v>
      </c>
      <c r="AI130">
        <f t="shared" si="66"/>
        <v>7.406729797988338</v>
      </c>
      <c r="AJ130" t="str">
        <f t="shared" si="67"/>
        <v>C00257</v>
      </c>
      <c r="AL130">
        <f t="shared" si="68"/>
        <v>7.484229012279866</v>
      </c>
      <c r="AM130">
        <f t="shared" si="69"/>
        <v>0.22836949566509132</v>
      </c>
      <c r="AN130">
        <f t="shared" si="70"/>
        <v>2.0721200282503713</v>
      </c>
      <c r="AO130">
        <f t="shared" si="71"/>
        <v>1.8092280405230177</v>
      </c>
      <c r="AP130">
        <f t="shared" si="72"/>
        <v>1.0684447757991733</v>
      </c>
      <c r="AQ130">
        <f t="shared" si="73"/>
        <v>0.1662618269149124</v>
      </c>
      <c r="AR130">
        <f t="shared" si="74"/>
        <v>0.74887821898685147</v>
      </c>
      <c r="AS130">
        <f t="shared" si="75"/>
        <v>-0.10312061982281109</v>
      </c>
      <c r="AT130">
        <f t="shared" si="76"/>
        <v>-4.8339147225570533E-2</v>
      </c>
      <c r="AU130">
        <f t="shared" si="77"/>
        <v>-6.9348331177047806E-2</v>
      </c>
      <c r="AV130">
        <f t="shared" si="78"/>
        <v>-0.65524599979877396</v>
      </c>
      <c r="AW130">
        <f t="shared" si="79"/>
        <v>-1.4464520730493717</v>
      </c>
      <c r="AX130">
        <f t="shared" si="80"/>
        <v>-1.3078169502378798</v>
      </c>
      <c r="AY130">
        <f t="shared" si="81"/>
        <v>-1.0482379616020199</v>
      </c>
      <c r="AZ130">
        <f t="shared" si="82"/>
        <v>-0.27372370379981431</v>
      </c>
      <c r="BA130">
        <f t="shared" si="83"/>
        <v>-0.28969729166647556</v>
      </c>
      <c r="BB130">
        <f t="shared" si="84"/>
        <v>-0.28359194078021249</v>
      </c>
      <c r="BC130">
        <f t="shared" si="85"/>
        <v>-0.33935887131432951</v>
      </c>
      <c r="BD130" t="str">
        <f t="shared" si="86"/>
        <v>C00257</v>
      </c>
    </row>
    <row r="131" spans="1:56" x14ac:dyDescent="0.2">
      <c r="A131" t="s">
        <v>208</v>
      </c>
      <c r="B131">
        <v>1388687488</v>
      </c>
      <c r="C131">
        <v>1662931200</v>
      </c>
      <c r="D131">
        <v>1334091776</v>
      </c>
      <c r="E131">
        <v>1086385792</v>
      </c>
      <c r="F131">
        <v>1213845632</v>
      </c>
      <c r="G131">
        <v>1044721216</v>
      </c>
      <c r="H131">
        <v>1110779136</v>
      </c>
      <c r="I131">
        <v>1303288064</v>
      </c>
      <c r="J131">
        <v>718988480</v>
      </c>
      <c r="K131">
        <v>587104768</v>
      </c>
      <c r="L131">
        <v>728881728</v>
      </c>
      <c r="M131">
        <v>798206720</v>
      </c>
      <c r="N131">
        <v>880999360</v>
      </c>
      <c r="O131">
        <v>787746304</v>
      </c>
      <c r="P131">
        <v>1048942400</v>
      </c>
      <c r="Q131">
        <v>943694016</v>
      </c>
      <c r="R131" s="2" t="s">
        <v>394</v>
      </c>
      <c r="S131" s="4" t="s">
        <v>421</v>
      </c>
      <c r="T131">
        <f t="shared" ref="T131:T194" si="87">LOG10(B131)</f>
        <v>9.1426045225500445</v>
      </c>
      <c r="U131">
        <f t="shared" ref="U131:U194" si="88">LOG10(C131)</f>
        <v>9.2208742816437859</v>
      </c>
      <c r="V131">
        <f t="shared" ref="V131:V194" si="89">LOG10(D131)</f>
        <v>9.1251857069713651</v>
      </c>
      <c r="W131">
        <f t="shared" ref="W131:W194" si="90">LOG10(E131)</f>
        <v>9.0359840771717472</v>
      </c>
      <c r="X131">
        <f t="shared" ref="X131:X194" si="91">LOG10(F131)</f>
        <v>9.0841634598584271</v>
      </c>
      <c r="Y131">
        <f t="shared" ref="Y131:Y194" si="92">LOG10(G131)</f>
        <v>9.0190004143650064</v>
      </c>
      <c r="Z131">
        <f t="shared" ref="Z131:Z194" si="93">LOG10(H131)</f>
        <v>9.0456277137095054</v>
      </c>
      <c r="AA131">
        <f t="shared" ref="AA131:AA194" si="94">LOG10(I131)</f>
        <v>9.1150404178451758</v>
      </c>
      <c r="AB131">
        <f t="shared" ref="AB131:AB194" si="95">LOG10(J131)</f>
        <v>8.8567219319510162</v>
      </c>
      <c r="AC131">
        <f t="shared" ref="AC131:AC194" si="96">LOG10(K131)</f>
        <v>8.7687156073878523</v>
      </c>
      <c r="AD131">
        <f t="shared" ref="AD131:AD194" si="97">LOG10(L131)</f>
        <v>8.8626570632369059</v>
      </c>
      <c r="AE131">
        <f t="shared" ref="AE131:AE194" si="98">LOG10(M131)</f>
        <v>8.9021153797329369</v>
      </c>
      <c r="AF131">
        <f t="shared" ref="AF131:AF194" si="99">LOG10(N131)</f>
        <v>8.9449755929199153</v>
      </c>
      <c r="AG131">
        <f t="shared" ref="AG131:AG194" si="100">LOG10(O131)</f>
        <v>8.8963863741993592</v>
      </c>
      <c r="AH131">
        <f t="shared" ref="AH131:AH194" si="101">LOG10(P131)</f>
        <v>9.0207516406730885</v>
      </c>
      <c r="AI131">
        <f t="shared" ref="AI131:AI194" si="102">LOG10(Q131)</f>
        <v>8.9748312011792812</v>
      </c>
      <c r="AJ131" t="str">
        <f t="shared" ref="AJ131:AJ194" si="103">R131</f>
        <v>C01083</v>
      </c>
      <c r="AL131">
        <f t="shared" ref="AL131:AL194" si="104">AVERAGE(T131:AI131)</f>
        <v>9.0009772115872142</v>
      </c>
      <c r="AM131">
        <f t="shared" ref="AM131:AM194" si="105">STDEV(T131:AI131)</f>
        <v>0.12278065751175719</v>
      </c>
      <c r="AN131">
        <f t="shared" ref="AN131:AN194" si="106">(T131-$AL131)/$AM131</f>
        <v>1.1534985545200263</v>
      </c>
      <c r="AO131">
        <f t="shared" ref="AO131:AO194" si="107">(U131-$AL131)/$AM131</f>
        <v>1.790974853148305</v>
      </c>
      <c r="AP131">
        <f t="shared" ref="AP131:AP194" si="108">(V131-$AL131)/$AM131</f>
        <v>1.0116291759738865</v>
      </c>
      <c r="AQ131">
        <f t="shared" ref="AQ131:AQ194" si="109">(W131-$AL131)/$AM131</f>
        <v>0.28511710471318213</v>
      </c>
      <c r="AR131">
        <f t="shared" ref="AR131:AR194" si="110">(X131-$AL131)/$AM131</f>
        <v>0.67751916268445767</v>
      </c>
      <c r="AS131">
        <f t="shared" ref="AS131:AS194" si="111">(Y131-$AL131)/$AM131</f>
        <v>0.14679187376127525</v>
      </c>
      <c r="AT131">
        <f t="shared" ref="AT131:AT194" si="112">(Z131-$AL131)/$AM131</f>
        <v>0.3636607184483886</v>
      </c>
      <c r="AU131">
        <f t="shared" ref="AU131:AU194" si="113">(AA131-$AL131)/$AM131</f>
        <v>0.92899979988329351</v>
      </c>
      <c r="AV131">
        <f t="shared" ref="AV131:AV194" si="114">(AB131-$AL131)/$AM131</f>
        <v>-1.1749023222357677</v>
      </c>
      <c r="AW131">
        <f t="shared" ref="AW131:AW194" si="115">(AC131-$AL131)/$AM131</f>
        <v>-1.8916791040732217</v>
      </c>
      <c r="AX131">
        <f t="shared" ref="AX131:AX194" si="116">(AD131-$AL131)/$AM131</f>
        <v>-1.1265630202140189</v>
      </c>
      <c r="AY131">
        <f t="shared" ref="AY131:AY194" si="117">(AE131-$AL131)/$AM131</f>
        <v>-0.80519060459348446</v>
      </c>
      <c r="AZ131">
        <f t="shared" ref="AZ131:AZ194" si="118">(AF131-$AL131)/$AM131</f>
        <v>-0.45611108298500785</v>
      </c>
      <c r="BA131">
        <f t="shared" ref="BA131:BA194" si="119">(AG131-$AL131)/$AM131</f>
        <v>-0.85185109371025836</v>
      </c>
      <c r="BB131">
        <f t="shared" ref="BB131:BB194" si="120">(AH131-$AL131)/$AM131</f>
        <v>0.1610549209184744</v>
      </c>
      <c r="BC131">
        <f t="shared" ref="BC131:BC194" si="121">(AI131-$AL131)/$AM131</f>
        <v>-0.21294893623964573</v>
      </c>
      <c r="BD131" t="str">
        <f t="shared" ref="BD131:BD194" si="122">AJ131</f>
        <v>C01083</v>
      </c>
    </row>
    <row r="132" spans="1:56" x14ac:dyDescent="0.2">
      <c r="A132" t="s">
        <v>208</v>
      </c>
      <c r="B132">
        <v>325711232</v>
      </c>
      <c r="C132">
        <v>373915552</v>
      </c>
      <c r="D132">
        <v>317302976</v>
      </c>
      <c r="E132">
        <v>246070240</v>
      </c>
      <c r="F132">
        <v>270597152</v>
      </c>
      <c r="G132">
        <v>248638496</v>
      </c>
      <c r="H132">
        <v>263175408</v>
      </c>
      <c r="I132">
        <v>301572832</v>
      </c>
      <c r="J132">
        <v>167205584</v>
      </c>
      <c r="K132">
        <v>133448240</v>
      </c>
      <c r="L132">
        <v>157533776</v>
      </c>
      <c r="M132">
        <v>179235520</v>
      </c>
      <c r="N132">
        <v>201264544</v>
      </c>
      <c r="O132">
        <v>183394992</v>
      </c>
      <c r="P132">
        <v>235759648</v>
      </c>
      <c r="Q132">
        <v>217493088</v>
      </c>
      <c r="R132" s="2" t="s">
        <v>394</v>
      </c>
      <c r="S132" s="4" t="s">
        <v>421</v>
      </c>
      <c r="T132">
        <f t="shared" si="87"/>
        <v>8.5128327352658619</v>
      </c>
      <c r="U132">
        <f t="shared" si="88"/>
        <v>8.5727735288271809</v>
      </c>
      <c r="V132">
        <f t="shared" si="89"/>
        <v>8.5014741453885208</v>
      </c>
      <c r="W132">
        <f t="shared" si="90"/>
        <v>8.3910590928360502</v>
      </c>
      <c r="X132">
        <f t="shared" si="91"/>
        <v>8.4323232213924495</v>
      </c>
      <c r="Y132">
        <f t="shared" si="92"/>
        <v>8.395568370106357</v>
      </c>
      <c r="Z132">
        <f t="shared" si="93"/>
        <v>8.4202453048929851</v>
      </c>
      <c r="AA132">
        <f t="shared" si="94"/>
        <v>8.4793922143730125</v>
      </c>
      <c r="AB132">
        <f t="shared" si="95"/>
        <v>8.2232507770497207</v>
      </c>
      <c r="AC132">
        <f t="shared" si="96"/>
        <v>8.125312850410312</v>
      </c>
      <c r="AD132">
        <f t="shared" si="97"/>
        <v>8.1973736829369539</v>
      </c>
      <c r="AE132">
        <f t="shared" si="98"/>
        <v>8.2534240801662762</v>
      </c>
      <c r="AF132">
        <f t="shared" si="99"/>
        <v>8.3037672736397514</v>
      </c>
      <c r="AG132">
        <f t="shared" si="100"/>
        <v>8.2633874721384686</v>
      </c>
      <c r="AH132">
        <f t="shared" si="101"/>
        <v>8.3724694744207131</v>
      </c>
      <c r="AI132">
        <f t="shared" si="102"/>
        <v>8.337445459492228</v>
      </c>
      <c r="AJ132" t="str">
        <f t="shared" si="103"/>
        <v>C01083</v>
      </c>
      <c r="AL132">
        <f t="shared" si="104"/>
        <v>8.3613812302085524</v>
      </c>
      <c r="AM132">
        <f t="shared" si="105"/>
        <v>0.12614903877610445</v>
      </c>
      <c r="AN132">
        <f t="shared" si="106"/>
        <v>1.2005759736791428</v>
      </c>
      <c r="AO132">
        <f t="shared" si="107"/>
        <v>1.675734517437093</v>
      </c>
      <c r="AP132">
        <f t="shared" si="108"/>
        <v>1.1105349397755793</v>
      </c>
      <c r="AQ132">
        <f t="shared" si="109"/>
        <v>0.2352603152226278</v>
      </c>
      <c r="AR132">
        <f t="shared" si="110"/>
        <v>0.56236648231468855</v>
      </c>
      <c r="AS132">
        <f t="shared" si="111"/>
        <v>0.27100594843597398</v>
      </c>
      <c r="AT132">
        <f t="shared" si="112"/>
        <v>0.46662325179431241</v>
      </c>
      <c r="AU132">
        <f t="shared" si="113"/>
        <v>0.93548857216353287</v>
      </c>
      <c r="AV132">
        <f t="shared" si="114"/>
        <v>-1.0949782455654886</v>
      </c>
      <c r="AW132">
        <f t="shared" si="115"/>
        <v>-1.8713450541404932</v>
      </c>
      <c r="AX132">
        <f t="shared" si="116"/>
        <v>-1.3001093695425392</v>
      </c>
      <c r="AY132">
        <f t="shared" si="117"/>
        <v>-0.85579050851020688</v>
      </c>
      <c r="AZ132">
        <f t="shared" si="118"/>
        <v>-0.45671340128922483</v>
      </c>
      <c r="BA132">
        <f t="shared" si="119"/>
        <v>-0.77680939165940044</v>
      </c>
      <c r="BB132">
        <f t="shared" si="120"/>
        <v>8.7897968305891472E-2</v>
      </c>
      <c r="BC132">
        <f t="shared" si="121"/>
        <v>-0.18974199842146039</v>
      </c>
      <c r="BD132" t="str">
        <f t="shared" si="122"/>
        <v>C01083</v>
      </c>
    </row>
    <row r="133" spans="1:56" x14ac:dyDescent="0.2">
      <c r="A133" t="s">
        <v>209</v>
      </c>
      <c r="B133">
        <v>1042976.812</v>
      </c>
      <c r="C133">
        <v>1122100.25</v>
      </c>
      <c r="D133">
        <v>1060456.125</v>
      </c>
      <c r="E133">
        <v>611433.3125</v>
      </c>
      <c r="F133">
        <v>1743189</v>
      </c>
      <c r="G133">
        <v>928866</v>
      </c>
      <c r="H133">
        <v>826407.5625</v>
      </c>
      <c r="I133">
        <v>1116926.5</v>
      </c>
      <c r="J133">
        <v>2718480</v>
      </c>
      <c r="K133">
        <v>2065750.25</v>
      </c>
      <c r="L133">
        <v>1792810</v>
      </c>
      <c r="M133">
        <v>2650326</v>
      </c>
      <c r="N133">
        <v>1313532.875</v>
      </c>
      <c r="O133">
        <v>1977929.75</v>
      </c>
      <c r="P133">
        <v>1503124.625</v>
      </c>
      <c r="Q133">
        <v>1911146.75</v>
      </c>
      <c r="R133" s="2"/>
      <c r="S133" s="4" t="s">
        <v>421</v>
      </c>
      <c r="T133">
        <f t="shared" si="87"/>
        <v>6.0182746530742861</v>
      </c>
      <c r="U133">
        <f t="shared" si="88"/>
        <v>6.0500316591276997</v>
      </c>
      <c r="V133">
        <f t="shared" si="89"/>
        <v>6.0254927048520441</v>
      </c>
      <c r="W133">
        <f t="shared" si="90"/>
        <v>5.7863490965438302</v>
      </c>
      <c r="X133">
        <f t="shared" si="91"/>
        <v>6.2413444767297239</v>
      </c>
      <c r="Y133">
        <f t="shared" si="92"/>
        <v>5.9679530663530951</v>
      </c>
      <c r="Z133">
        <f t="shared" si="93"/>
        <v>5.9171942827818835</v>
      </c>
      <c r="AA133">
        <f t="shared" si="94"/>
        <v>6.0480245950541276</v>
      </c>
      <c r="AB133">
        <f t="shared" si="95"/>
        <v>6.4343261422221918</v>
      </c>
      <c r="AC133">
        <f t="shared" si="96"/>
        <v>6.315077813987414</v>
      </c>
      <c r="AD133">
        <f t="shared" si="97"/>
        <v>6.2535342659571178</v>
      </c>
      <c r="AE133">
        <f t="shared" si="98"/>
        <v>6.4232992970663583</v>
      </c>
      <c r="AF133">
        <f t="shared" si="99"/>
        <v>6.1184409467470786</v>
      </c>
      <c r="AG133">
        <f t="shared" si="100"/>
        <v>6.2962108627267099</v>
      </c>
      <c r="AH133">
        <f t="shared" si="101"/>
        <v>6.1769949897060163</v>
      </c>
      <c r="AI133">
        <f t="shared" si="102"/>
        <v>6.2812940362273073</v>
      </c>
      <c r="AJ133">
        <f t="shared" si="103"/>
        <v>0</v>
      </c>
      <c r="AL133">
        <f t="shared" si="104"/>
        <v>6.1471151805723068</v>
      </c>
      <c r="AM133">
        <f t="shared" si="105"/>
        <v>0.18527148467895491</v>
      </c>
      <c r="AN133">
        <f t="shared" si="106"/>
        <v>-0.69541477319772205</v>
      </c>
      <c r="AO133">
        <f t="shared" si="107"/>
        <v>-0.52400681957526762</v>
      </c>
      <c r="AP133">
        <f t="shared" si="108"/>
        <v>-0.65645544931544342</v>
      </c>
      <c r="AQ133">
        <f t="shared" si="109"/>
        <v>-1.9472294112265844</v>
      </c>
      <c r="AR133">
        <f t="shared" si="110"/>
        <v>0.50860118231740337</v>
      </c>
      <c r="AS133">
        <f t="shared" si="111"/>
        <v>-0.96702476654553848</v>
      </c>
      <c r="AT133">
        <f t="shared" si="112"/>
        <v>-1.2409945231930237</v>
      </c>
      <c r="AU133">
        <f t="shared" si="113"/>
        <v>-0.53483991716203338</v>
      </c>
      <c r="AV133">
        <f t="shared" si="114"/>
        <v>1.5502167651302332</v>
      </c>
      <c r="AW133">
        <f t="shared" si="115"/>
        <v>0.90657574049324907</v>
      </c>
      <c r="AX133">
        <f t="shared" si="116"/>
        <v>0.57439538291182723</v>
      </c>
      <c r="AY133">
        <f t="shared" si="117"/>
        <v>1.490699537344526</v>
      </c>
      <c r="AZ133">
        <f t="shared" si="118"/>
        <v>-0.15476873775214733</v>
      </c>
      <c r="BA133">
        <f t="shared" si="119"/>
        <v>0.80474166012520232</v>
      </c>
      <c r="BB133">
        <f t="shared" si="120"/>
        <v>0.16127581200898988</v>
      </c>
      <c r="BC133">
        <f t="shared" si="121"/>
        <v>0.7242283176362001</v>
      </c>
      <c r="BD133">
        <f t="shared" si="122"/>
        <v>0</v>
      </c>
    </row>
    <row r="134" spans="1:56" x14ac:dyDescent="0.2">
      <c r="A134" t="s">
        <v>210</v>
      </c>
      <c r="B134">
        <v>185531.8438</v>
      </c>
      <c r="C134">
        <v>157214.82810000001</v>
      </c>
      <c r="D134">
        <v>190531.1562</v>
      </c>
      <c r="E134">
        <v>117156.375</v>
      </c>
      <c r="F134">
        <v>250486.0625</v>
      </c>
      <c r="G134">
        <v>217451.10939999999</v>
      </c>
      <c r="H134">
        <v>168802.875</v>
      </c>
      <c r="I134">
        <v>214195.23439999999</v>
      </c>
      <c r="J134">
        <v>42974.332029999998</v>
      </c>
      <c r="K134">
        <v>72038</v>
      </c>
      <c r="L134">
        <v>48430.648439999997</v>
      </c>
      <c r="M134">
        <v>60274.199220000002</v>
      </c>
      <c r="N134">
        <v>64503.421880000002</v>
      </c>
      <c r="O134">
        <v>89419.34375</v>
      </c>
      <c r="P134">
        <v>81648.15625</v>
      </c>
      <c r="Q134">
        <v>53843.824220000002</v>
      </c>
      <c r="R134" s="2"/>
      <c r="S134" s="4" t="s">
        <v>421</v>
      </c>
      <c r="T134">
        <f t="shared" si="87"/>
        <v>5.2684184605803521</v>
      </c>
      <c r="U134">
        <f t="shared" si="88"/>
        <v>5.1964935051786219</v>
      </c>
      <c r="V134">
        <f t="shared" si="89"/>
        <v>5.2799660028954474</v>
      </c>
      <c r="W134">
        <f t="shared" si="90"/>
        <v>5.0687659254724107</v>
      </c>
      <c r="X134">
        <f t="shared" si="91"/>
        <v>5.3987835659408381</v>
      </c>
      <c r="Y134">
        <f t="shared" si="92"/>
        <v>5.3373616277064322</v>
      </c>
      <c r="Z134">
        <f t="shared" si="93"/>
        <v>5.2273798391261446</v>
      </c>
      <c r="AA134">
        <f t="shared" si="94"/>
        <v>5.3308098040457583</v>
      </c>
      <c r="AB134">
        <f t="shared" si="95"/>
        <v>4.6332091349707341</v>
      </c>
      <c r="AC134">
        <f t="shared" si="96"/>
        <v>4.8575616469428722</v>
      </c>
      <c r="AD134">
        <f t="shared" si="97"/>
        <v>4.6851202838726502</v>
      </c>
      <c r="AE134">
        <f t="shared" si="98"/>
        <v>4.7801314492171327</v>
      </c>
      <c r="AF134">
        <f t="shared" si="99"/>
        <v>4.8095827543900347</v>
      </c>
      <c r="AG134">
        <f t="shared" si="100"/>
        <v>4.951431478249531</v>
      </c>
      <c r="AH134">
        <f t="shared" si="101"/>
        <v>4.9119463820978941</v>
      </c>
      <c r="AI134">
        <f t="shared" si="102"/>
        <v>4.7311358977735409</v>
      </c>
      <c r="AJ134">
        <f t="shared" si="103"/>
        <v>0</v>
      </c>
      <c r="AL134">
        <f t="shared" si="104"/>
        <v>5.0292561099037743</v>
      </c>
      <c r="AM134">
        <f t="shared" si="105"/>
        <v>0.26268177116625391</v>
      </c>
      <c r="AN134">
        <f t="shared" si="106"/>
        <v>0.91046420775505443</v>
      </c>
      <c r="AO134">
        <f t="shared" si="107"/>
        <v>0.63665398071722834</v>
      </c>
      <c r="AP134">
        <f t="shared" si="108"/>
        <v>0.95442440439841691</v>
      </c>
      <c r="AQ134">
        <f t="shared" si="109"/>
        <v>0.15040943036595511</v>
      </c>
      <c r="AR134">
        <f t="shared" si="110"/>
        <v>1.406749522041201</v>
      </c>
      <c r="AS134">
        <f t="shared" si="111"/>
        <v>1.1729231017239292</v>
      </c>
      <c r="AT134">
        <f t="shared" si="112"/>
        <v>0.75423478508897301</v>
      </c>
      <c r="AU134">
        <f t="shared" si="113"/>
        <v>1.1479810449090042</v>
      </c>
      <c r="AV134">
        <f t="shared" si="114"/>
        <v>-1.5077063519659997</v>
      </c>
      <c r="AW134">
        <f t="shared" si="115"/>
        <v>-0.6536215368071161</v>
      </c>
      <c r="AX134">
        <f t="shared" si="116"/>
        <v>-1.3100864384431039</v>
      </c>
      <c r="AY134">
        <f t="shared" si="117"/>
        <v>-0.94838960305687925</v>
      </c>
      <c r="AZ134">
        <f t="shared" si="118"/>
        <v>-0.83627179205635138</v>
      </c>
      <c r="BA134">
        <f t="shared" si="119"/>
        <v>-0.29626963191514066</v>
      </c>
      <c r="BB134">
        <f t="shared" si="120"/>
        <v>-0.44658495823691408</v>
      </c>
      <c r="BC134">
        <f t="shared" si="121"/>
        <v>-1.1349101645182302</v>
      </c>
      <c r="BD134">
        <f t="shared" si="122"/>
        <v>0</v>
      </c>
    </row>
    <row r="135" spans="1:56" x14ac:dyDescent="0.2">
      <c r="A135" t="s">
        <v>211</v>
      </c>
      <c r="B135">
        <v>277710560</v>
      </c>
      <c r="C135">
        <v>268682336</v>
      </c>
      <c r="D135">
        <v>265504320</v>
      </c>
      <c r="E135">
        <v>207336496</v>
      </c>
      <c r="F135">
        <v>243719664</v>
      </c>
      <c r="G135">
        <v>210850528</v>
      </c>
      <c r="H135">
        <v>194790576</v>
      </c>
      <c r="I135">
        <v>214227056</v>
      </c>
      <c r="J135">
        <v>148835136</v>
      </c>
      <c r="K135">
        <v>109696056</v>
      </c>
      <c r="L135">
        <v>113289816</v>
      </c>
      <c r="M135">
        <v>142703472</v>
      </c>
      <c r="N135">
        <v>137760800</v>
      </c>
      <c r="O135">
        <v>166278992</v>
      </c>
      <c r="P135">
        <v>151170080</v>
      </c>
      <c r="Q135">
        <v>153083184</v>
      </c>
      <c r="R135" s="2" t="s">
        <v>212</v>
      </c>
      <c r="S135" s="4" t="s">
        <v>421</v>
      </c>
      <c r="T135">
        <f t="shared" si="87"/>
        <v>8.4435923941994222</v>
      </c>
      <c r="U135">
        <f t="shared" si="88"/>
        <v>8.4292391155217707</v>
      </c>
      <c r="V135">
        <f t="shared" si="89"/>
        <v>8.4240715918464844</v>
      </c>
      <c r="W135">
        <f t="shared" si="90"/>
        <v>8.3166757546570356</v>
      </c>
      <c r="X135">
        <f t="shared" si="91"/>
        <v>8.3868905707200891</v>
      </c>
      <c r="Y135">
        <f t="shared" si="92"/>
        <v>8.3239746928879903</v>
      </c>
      <c r="Z135">
        <f t="shared" si="93"/>
        <v>8.2895679418126136</v>
      </c>
      <c r="AA135">
        <f t="shared" si="94"/>
        <v>8.3308743195745745</v>
      </c>
      <c r="AB135">
        <f t="shared" si="95"/>
        <v>8.1727054686400304</v>
      </c>
      <c r="AC135">
        <f t="shared" si="96"/>
        <v>8.0401910132791023</v>
      </c>
      <c r="AD135">
        <f t="shared" si="97"/>
        <v>8.0541908714362975</v>
      </c>
      <c r="AE135">
        <f t="shared" si="98"/>
        <v>8.1544345397025779</v>
      </c>
      <c r="AF135">
        <f t="shared" si="99"/>
        <v>8.1391256561375762</v>
      </c>
      <c r="AG135">
        <f t="shared" si="100"/>
        <v>8.2208373831052572</v>
      </c>
      <c r="AH135">
        <f t="shared" si="101"/>
        <v>8.1794658429064118</v>
      </c>
      <c r="AI135">
        <f t="shared" si="102"/>
        <v>8.1849274866021737</v>
      </c>
      <c r="AJ135" t="str">
        <f t="shared" si="103"/>
        <v>C00135</v>
      </c>
      <c r="AL135">
        <f t="shared" si="104"/>
        <v>8.2556727901893368</v>
      </c>
      <c r="AM135">
        <f t="shared" si="105"/>
        <v>0.13063313222071907</v>
      </c>
      <c r="AN135">
        <f t="shared" si="106"/>
        <v>1.4385294206417296</v>
      </c>
      <c r="AO135">
        <f t="shared" si="107"/>
        <v>1.3286547017733186</v>
      </c>
      <c r="AP135">
        <f t="shared" si="108"/>
        <v>1.2890971746173803</v>
      </c>
      <c r="AQ135">
        <f t="shared" si="109"/>
        <v>0.46697926805144341</v>
      </c>
      <c r="AR135">
        <f t="shared" si="110"/>
        <v>1.00447549790849</v>
      </c>
      <c r="AS135">
        <f t="shared" si="111"/>
        <v>0.52285282866256289</v>
      </c>
      <c r="AT135">
        <f t="shared" si="112"/>
        <v>0.2594682608238103</v>
      </c>
      <c r="AU135">
        <f t="shared" si="113"/>
        <v>0.57566964909159835</v>
      </c>
      <c r="AV135">
        <f t="shared" si="114"/>
        <v>-0.63511698861452603</v>
      </c>
      <c r="AW135">
        <f t="shared" si="115"/>
        <v>-1.6495185658271916</v>
      </c>
      <c r="AX135">
        <f t="shared" si="116"/>
        <v>-1.5423492901679288</v>
      </c>
      <c r="AY135">
        <f t="shared" si="117"/>
        <v>-0.77498142137253245</v>
      </c>
      <c r="AZ135">
        <f t="shared" si="118"/>
        <v>-0.89217132032661761</v>
      </c>
      <c r="BA135">
        <f t="shared" si="119"/>
        <v>-0.26666594065295202</v>
      </c>
      <c r="BB135">
        <f t="shared" si="120"/>
        <v>-0.58336614905753736</v>
      </c>
      <c r="BC135">
        <f t="shared" si="121"/>
        <v>-0.54155712555089808</v>
      </c>
      <c r="BD135" t="str">
        <f t="shared" si="122"/>
        <v>C00135</v>
      </c>
    </row>
    <row r="136" spans="1:56" x14ac:dyDescent="0.2">
      <c r="A136" t="s">
        <v>213</v>
      </c>
      <c r="B136">
        <v>146940.20310000001</v>
      </c>
      <c r="C136">
        <v>154312.6875</v>
      </c>
      <c r="D136">
        <v>156229.70310000001</v>
      </c>
      <c r="E136">
        <v>90033.757809999996</v>
      </c>
      <c r="F136">
        <v>186579.0312</v>
      </c>
      <c r="G136">
        <v>130177</v>
      </c>
      <c r="H136">
        <v>143652.17189999999</v>
      </c>
      <c r="I136">
        <v>124153.69530000001</v>
      </c>
      <c r="J136">
        <v>169658.70310000001</v>
      </c>
      <c r="K136">
        <v>273443.53120000003</v>
      </c>
      <c r="L136">
        <v>276774.59379999997</v>
      </c>
      <c r="M136">
        <v>295080.3125</v>
      </c>
      <c r="N136">
        <v>239715.3125</v>
      </c>
      <c r="O136">
        <v>333141.0625</v>
      </c>
      <c r="P136">
        <v>220803.70310000001</v>
      </c>
      <c r="Q136">
        <v>235430.04689999999</v>
      </c>
      <c r="R136" s="2"/>
      <c r="S136" s="4" t="s">
        <v>421</v>
      </c>
      <c r="T136">
        <f t="shared" si="87"/>
        <v>5.1671406357883924</v>
      </c>
      <c r="U136">
        <f t="shared" si="88"/>
        <v>5.1884016349725055</v>
      </c>
      <c r="V136">
        <f t="shared" si="89"/>
        <v>5.1937636074289557</v>
      </c>
      <c r="W136">
        <f t="shared" si="90"/>
        <v>4.9544053770143206</v>
      </c>
      <c r="X136">
        <f t="shared" si="91"/>
        <v>5.2708628336985823</v>
      </c>
      <c r="Y136">
        <f t="shared" si="92"/>
        <v>5.1145342587678675</v>
      </c>
      <c r="Z136">
        <f t="shared" si="93"/>
        <v>5.1573121965448454</v>
      </c>
      <c r="AA136">
        <f t="shared" si="94"/>
        <v>5.093959650386882</v>
      </c>
      <c r="AB136">
        <f t="shared" si="95"/>
        <v>5.229576142857403</v>
      </c>
      <c r="AC136">
        <f t="shared" si="96"/>
        <v>5.4368676538127803</v>
      </c>
      <c r="AD136">
        <f t="shared" si="97"/>
        <v>5.4421262220604909</v>
      </c>
      <c r="AE136">
        <f t="shared" si="98"/>
        <v>5.4699402347190844</v>
      </c>
      <c r="AF136">
        <f t="shared" si="99"/>
        <v>5.3796957767197258</v>
      </c>
      <c r="AG136">
        <f t="shared" si="100"/>
        <v>5.5226281665190644</v>
      </c>
      <c r="AH136">
        <f t="shared" si="101"/>
        <v>5.3440063526731487</v>
      </c>
      <c r="AI136">
        <f t="shared" si="102"/>
        <v>5.371861889136671</v>
      </c>
      <c r="AJ136">
        <f t="shared" si="103"/>
        <v>0</v>
      </c>
      <c r="AL136">
        <f t="shared" si="104"/>
        <v>5.2710676645687951</v>
      </c>
      <c r="AM136">
        <f t="shared" si="105"/>
        <v>0.15943243470220766</v>
      </c>
      <c r="AN136">
        <f t="shared" si="106"/>
        <v>-0.6518562485388899</v>
      </c>
      <c r="AO136">
        <f t="shared" si="107"/>
        <v>-0.51850195821631562</v>
      </c>
      <c r="AP136">
        <f t="shared" si="108"/>
        <v>-0.48487032945479386</v>
      </c>
      <c r="AQ136">
        <f t="shared" si="109"/>
        <v>-1.9861848572151901</v>
      </c>
      <c r="AR136">
        <f t="shared" si="110"/>
        <v>-1.2847503119130883E-3</v>
      </c>
      <c r="AS136">
        <f t="shared" si="111"/>
        <v>-0.98181656758428737</v>
      </c>
      <c r="AT136">
        <f t="shared" si="112"/>
        <v>-0.71350267112476373</v>
      </c>
      <c r="AU136">
        <f t="shared" si="113"/>
        <v>-1.1108656435732183</v>
      </c>
      <c r="AV136">
        <f t="shared" si="114"/>
        <v>-0.26024517400672609</v>
      </c>
      <c r="AW136">
        <f t="shared" si="115"/>
        <v>1.0399388904376392</v>
      </c>
      <c r="AX136">
        <f t="shared" si="116"/>
        <v>1.0729219422083329</v>
      </c>
      <c r="AY136">
        <f t="shared" si="117"/>
        <v>1.247378367656174</v>
      </c>
      <c r="AZ136">
        <f t="shared" si="118"/>
        <v>0.6813426160983449</v>
      </c>
      <c r="BA136">
        <f t="shared" si="119"/>
        <v>1.5778502186217067</v>
      </c>
      <c r="BB136">
        <f t="shared" si="120"/>
        <v>0.45748964594682739</v>
      </c>
      <c r="BC136">
        <f t="shared" si="121"/>
        <v>0.63220651905706737</v>
      </c>
      <c r="BD136">
        <f t="shared" si="122"/>
        <v>0</v>
      </c>
    </row>
    <row r="137" spans="1:56" x14ac:dyDescent="0.2">
      <c r="A137" t="s">
        <v>214</v>
      </c>
      <c r="B137">
        <v>354342.84379999997</v>
      </c>
      <c r="C137">
        <v>351812.5</v>
      </c>
      <c r="D137">
        <v>862739.875</v>
      </c>
      <c r="E137">
        <v>355723.21879999997</v>
      </c>
      <c r="F137">
        <v>979312.125</v>
      </c>
      <c r="G137">
        <v>541536.75</v>
      </c>
      <c r="H137">
        <v>1105653.5</v>
      </c>
      <c r="I137">
        <v>1260930.25</v>
      </c>
      <c r="J137">
        <v>2074489.25</v>
      </c>
      <c r="K137">
        <v>1665764.625</v>
      </c>
      <c r="L137">
        <v>1415546.5</v>
      </c>
      <c r="M137">
        <v>2218364.5</v>
      </c>
      <c r="N137">
        <v>4418549</v>
      </c>
      <c r="O137">
        <v>4200908.5</v>
      </c>
      <c r="P137">
        <v>5452925</v>
      </c>
      <c r="Q137">
        <v>4679561</v>
      </c>
      <c r="R137" s="2" t="s">
        <v>215</v>
      </c>
      <c r="S137" s="4" t="s">
        <v>421</v>
      </c>
      <c r="T137">
        <f t="shared" si="87"/>
        <v>5.5494236663072032</v>
      </c>
      <c r="U137">
        <f t="shared" si="88"/>
        <v>5.5463112660042775</v>
      </c>
      <c r="V137">
        <f t="shared" si="89"/>
        <v>5.9358798711713696</v>
      </c>
      <c r="W137">
        <f t="shared" si="90"/>
        <v>5.5511122134219733</v>
      </c>
      <c r="X137">
        <f t="shared" si="91"/>
        <v>5.9909211315999213</v>
      </c>
      <c r="Y137">
        <f t="shared" si="92"/>
        <v>5.7336279342404612</v>
      </c>
      <c r="Z137">
        <f t="shared" si="93"/>
        <v>6.043619045037933</v>
      </c>
      <c r="AA137">
        <f t="shared" si="94"/>
        <v>6.1006910636722731</v>
      </c>
      <c r="AB137">
        <f t="shared" si="95"/>
        <v>6.3169111886575076</v>
      </c>
      <c r="AC137">
        <f t="shared" si="96"/>
        <v>6.2216136349546813</v>
      </c>
      <c r="AD137">
        <f t="shared" si="97"/>
        <v>6.1509241402936414</v>
      </c>
      <c r="AE137">
        <f t="shared" si="98"/>
        <v>6.3460329067061796</v>
      </c>
      <c r="AF137">
        <f t="shared" si="99"/>
        <v>6.645279675514085</v>
      </c>
      <c r="AG137">
        <f t="shared" si="100"/>
        <v>6.6233432222716608</v>
      </c>
      <c r="AH137">
        <f t="shared" si="101"/>
        <v>6.7366295244041989</v>
      </c>
      <c r="AI137">
        <f t="shared" si="102"/>
        <v>6.6702051128561379</v>
      </c>
      <c r="AJ137" t="str">
        <f t="shared" si="103"/>
        <v>C00327</v>
      </c>
      <c r="AL137">
        <f t="shared" si="104"/>
        <v>6.1351578498195938</v>
      </c>
      <c r="AM137">
        <f t="shared" si="105"/>
        <v>0.40776319890527168</v>
      </c>
      <c r="AN137">
        <f t="shared" si="106"/>
        <v>-1.4364567108677793</v>
      </c>
      <c r="AO137">
        <f t="shared" si="107"/>
        <v>-1.4440895730566221</v>
      </c>
      <c r="AP137">
        <f t="shared" si="108"/>
        <v>-0.48871006305431414</v>
      </c>
      <c r="AQ137">
        <f t="shared" si="109"/>
        <v>-1.4323157115836276</v>
      </c>
      <c r="AR137">
        <f t="shared" si="110"/>
        <v>-0.35372666931912206</v>
      </c>
      <c r="AS137">
        <f t="shared" si="111"/>
        <v>-0.98471347256723085</v>
      </c>
      <c r="AT137">
        <f t="shared" si="112"/>
        <v>-0.22449010854195878</v>
      </c>
      <c r="AU137">
        <f t="shared" si="113"/>
        <v>-8.4526475758121888E-2</v>
      </c>
      <c r="AV137">
        <f t="shared" si="114"/>
        <v>0.44573257058476551</v>
      </c>
      <c r="AW137">
        <f t="shared" si="115"/>
        <v>0.21202449207578511</v>
      </c>
      <c r="AX137">
        <f t="shared" si="116"/>
        <v>3.8665309955326181E-2</v>
      </c>
      <c r="AY137">
        <f t="shared" si="117"/>
        <v>0.51715078126894587</v>
      </c>
      <c r="AZ137">
        <f t="shared" si="118"/>
        <v>1.2510246806578509</v>
      </c>
      <c r="BA137">
        <f t="shared" si="119"/>
        <v>1.1972276403626076</v>
      </c>
      <c r="BB137">
        <f t="shared" si="120"/>
        <v>1.4750513930619185</v>
      </c>
      <c r="BC137">
        <f t="shared" si="121"/>
        <v>1.312151916781588</v>
      </c>
      <c r="BD137" t="str">
        <f t="shared" si="122"/>
        <v>C00327</v>
      </c>
    </row>
    <row r="138" spans="1:56" x14ac:dyDescent="0.2">
      <c r="A138" t="s">
        <v>216</v>
      </c>
      <c r="B138">
        <v>610381</v>
      </c>
      <c r="C138">
        <v>1085053.75</v>
      </c>
      <c r="D138">
        <v>635134.75</v>
      </c>
      <c r="E138">
        <v>408140.5</v>
      </c>
      <c r="F138">
        <v>4061106.5</v>
      </c>
      <c r="G138">
        <v>1774476.5</v>
      </c>
      <c r="H138">
        <v>2212647.75</v>
      </c>
      <c r="I138">
        <v>1438087.125</v>
      </c>
      <c r="J138">
        <v>227640.70310000001</v>
      </c>
      <c r="K138">
        <v>166782.2812</v>
      </c>
      <c r="L138">
        <v>134903.57810000001</v>
      </c>
      <c r="M138">
        <v>160892.1875</v>
      </c>
      <c r="N138">
        <v>2230103.5</v>
      </c>
      <c r="O138">
        <v>3415945.5</v>
      </c>
      <c r="P138">
        <v>2539825.5</v>
      </c>
      <c r="Q138">
        <v>2241243.5</v>
      </c>
      <c r="R138" s="2"/>
      <c r="S138" s="4" t="s">
        <v>421</v>
      </c>
      <c r="T138">
        <f t="shared" si="87"/>
        <v>5.7856010063957379</v>
      </c>
      <c r="U138">
        <f t="shared" si="88"/>
        <v>6.0354512522400476</v>
      </c>
      <c r="V138">
        <f t="shared" si="89"/>
        <v>5.8028658748558799</v>
      </c>
      <c r="W138">
        <f t="shared" si="90"/>
        <v>5.6108096921852013</v>
      </c>
      <c r="X138">
        <f t="shared" si="91"/>
        <v>6.608644378742893</v>
      </c>
      <c r="Y138">
        <f t="shared" si="92"/>
        <v>6.2490702522111379</v>
      </c>
      <c r="Z138">
        <f t="shared" si="93"/>
        <v>6.3449122804398161</v>
      </c>
      <c r="AA138">
        <f t="shared" si="94"/>
        <v>6.1577851981195533</v>
      </c>
      <c r="AB138">
        <f t="shared" si="95"/>
        <v>5.3572499183173221</v>
      </c>
      <c r="AC138">
        <f t="shared" si="96"/>
        <v>5.2221499096961095</v>
      </c>
      <c r="AD138">
        <f t="shared" si="97"/>
        <v>5.1300234687858959</v>
      </c>
      <c r="AE138">
        <f t="shared" si="98"/>
        <v>5.2065349564171504</v>
      </c>
      <c r="AF138">
        <f t="shared" si="99"/>
        <v>6.3483250192973983</v>
      </c>
      <c r="AG138">
        <f t="shared" si="100"/>
        <v>6.5335109330831038</v>
      </c>
      <c r="AH138">
        <f t="shared" si="101"/>
        <v>6.4048038792221291</v>
      </c>
      <c r="AI138">
        <f t="shared" si="102"/>
        <v>6.3504890430417502</v>
      </c>
      <c r="AJ138">
        <f t="shared" si="103"/>
        <v>0</v>
      </c>
      <c r="AL138">
        <f t="shared" si="104"/>
        <v>5.9467641914406952</v>
      </c>
      <c r="AM138">
        <f t="shared" si="105"/>
        <v>0.50766470781668094</v>
      </c>
      <c r="AN138">
        <f t="shared" si="106"/>
        <v>-0.3174598954063077</v>
      </c>
      <c r="AO138">
        <f t="shared" si="107"/>
        <v>0.17469613198201189</v>
      </c>
      <c r="AP138">
        <f t="shared" si="108"/>
        <v>-0.28345148750576021</v>
      </c>
      <c r="AQ138">
        <f t="shared" si="109"/>
        <v>-0.66176453490402565</v>
      </c>
      <c r="AR138">
        <f t="shared" si="110"/>
        <v>1.3037742768228917</v>
      </c>
      <c r="AS138">
        <f t="shared" si="111"/>
        <v>0.59548370433425157</v>
      </c>
      <c r="AT138">
        <f t="shared" si="112"/>
        <v>0.78427372017141128</v>
      </c>
      <c r="AU138">
        <f t="shared" si="113"/>
        <v>0.41567003463053076</v>
      </c>
      <c r="AV138">
        <f t="shared" si="114"/>
        <v>-1.1612276056350332</v>
      </c>
      <c r="AW138">
        <f t="shared" si="115"/>
        <v>-1.4273481504376031</v>
      </c>
      <c r="AX138">
        <f t="shared" si="116"/>
        <v>-1.6088191873084206</v>
      </c>
      <c r="AY138">
        <f t="shared" si="117"/>
        <v>-1.4581065487239731</v>
      </c>
      <c r="AZ138">
        <f t="shared" si="118"/>
        <v>0.79099614701147947</v>
      </c>
      <c r="BA138">
        <f t="shared" si="119"/>
        <v>1.1557761109016946</v>
      </c>
      <c r="BB138">
        <f t="shared" si="120"/>
        <v>0.9022484343087982</v>
      </c>
      <c r="BC138">
        <f t="shared" si="121"/>
        <v>0.79525884975805938</v>
      </c>
      <c r="BD138">
        <f t="shared" si="122"/>
        <v>0</v>
      </c>
    </row>
    <row r="139" spans="1:56" x14ac:dyDescent="0.2">
      <c r="A139" t="s">
        <v>217</v>
      </c>
      <c r="B139">
        <v>701747.5625</v>
      </c>
      <c r="C139">
        <v>515586.46879999997</v>
      </c>
      <c r="D139">
        <v>749224.5625</v>
      </c>
      <c r="E139">
        <v>662444.6875</v>
      </c>
      <c r="F139">
        <v>853949.25</v>
      </c>
      <c r="G139">
        <v>558830</v>
      </c>
      <c r="H139">
        <v>784088.9375</v>
      </c>
      <c r="I139">
        <v>714423.0625</v>
      </c>
      <c r="J139">
        <v>345609.25</v>
      </c>
      <c r="K139">
        <v>307665.46879999997</v>
      </c>
      <c r="L139">
        <v>329892.625</v>
      </c>
      <c r="M139">
        <v>321738.3125</v>
      </c>
      <c r="N139">
        <v>424826.65620000003</v>
      </c>
      <c r="O139">
        <v>543532.25</v>
      </c>
      <c r="P139">
        <v>589388</v>
      </c>
      <c r="Q139">
        <v>386711.34379999997</v>
      </c>
      <c r="R139" s="2" t="s">
        <v>395</v>
      </c>
      <c r="S139" s="4" t="s">
        <v>421</v>
      </c>
      <c r="T139">
        <f t="shared" si="87"/>
        <v>5.8461809127996895</v>
      </c>
      <c r="U139">
        <f t="shared" si="88"/>
        <v>5.7123015110812769</v>
      </c>
      <c r="V139">
        <f t="shared" si="89"/>
        <v>5.8746120068016392</v>
      </c>
      <c r="W139">
        <f t="shared" si="90"/>
        <v>5.8211496216029772</v>
      </c>
      <c r="X139">
        <f t="shared" si="91"/>
        <v>5.9314320614385689</v>
      </c>
      <c r="Y139">
        <f t="shared" si="92"/>
        <v>5.7472797125544091</v>
      </c>
      <c r="Z139">
        <f t="shared" si="93"/>
        <v>5.8943653265553859</v>
      </c>
      <c r="AA139">
        <f t="shared" si="94"/>
        <v>5.8539554656940735</v>
      </c>
      <c r="AB139">
        <f t="shared" si="95"/>
        <v>5.5385853575632158</v>
      </c>
      <c r="AC139">
        <f t="shared" si="96"/>
        <v>5.4880787554246808</v>
      </c>
      <c r="AD139">
        <f t="shared" si="97"/>
        <v>5.5183726066711225</v>
      </c>
      <c r="AE139">
        <f t="shared" si="98"/>
        <v>5.5075027796356366</v>
      </c>
      <c r="AF139">
        <f t="shared" si="99"/>
        <v>5.628211759197157</v>
      </c>
      <c r="AG139">
        <f t="shared" si="100"/>
        <v>5.7352253176615342</v>
      </c>
      <c r="AH139">
        <f t="shared" si="101"/>
        <v>5.7704012893238215</v>
      </c>
      <c r="AI139">
        <f t="shared" si="102"/>
        <v>5.587386911864856</v>
      </c>
      <c r="AJ139" t="str">
        <f t="shared" si="103"/>
        <v>C00430</v>
      </c>
      <c r="AL139">
        <f t="shared" si="104"/>
        <v>5.7159400872418775</v>
      </c>
      <c r="AM139">
        <f t="shared" si="105"/>
        <v>0.15164413125708007</v>
      </c>
      <c r="AN139">
        <f t="shared" si="106"/>
        <v>0.85885833153026325</v>
      </c>
      <c r="AO139">
        <f t="shared" si="107"/>
        <v>-2.3994177225574051E-2</v>
      </c>
      <c r="AP139">
        <f t="shared" si="108"/>
        <v>1.0463439517535136</v>
      </c>
      <c r="AQ139">
        <f t="shared" si="109"/>
        <v>0.69379232476026076</v>
      </c>
      <c r="AR139">
        <f t="shared" si="110"/>
        <v>1.4210373484969956</v>
      </c>
      <c r="AS139">
        <f t="shared" si="111"/>
        <v>0.20666559960307287</v>
      </c>
      <c r="AT139">
        <f t="shared" si="112"/>
        <v>1.1766049753091117</v>
      </c>
      <c r="AU139">
        <f t="shared" si="113"/>
        <v>0.91012673756705154</v>
      </c>
      <c r="AV139">
        <f t="shared" si="114"/>
        <v>-1.1695456211094306</v>
      </c>
      <c r="AW139">
        <f t="shared" si="115"/>
        <v>-1.5026056724272878</v>
      </c>
      <c r="AX139">
        <f t="shared" si="116"/>
        <v>-1.3028363111251682</v>
      </c>
      <c r="AY139">
        <f t="shared" si="117"/>
        <v>-1.3745161509275965</v>
      </c>
      <c r="AZ139">
        <f t="shared" si="118"/>
        <v>-0.57851449520322007</v>
      </c>
      <c r="BA139">
        <f t="shared" si="119"/>
        <v>0.12717426160701675</v>
      </c>
      <c r="BB139">
        <f t="shared" si="120"/>
        <v>0.35913821148552505</v>
      </c>
      <c r="BC139">
        <f t="shared" si="121"/>
        <v>-0.84772931409450447</v>
      </c>
      <c r="BD139" t="str">
        <f t="shared" si="122"/>
        <v>C00430</v>
      </c>
    </row>
    <row r="140" spans="1:56" x14ac:dyDescent="0.2">
      <c r="A140" t="s">
        <v>218</v>
      </c>
      <c r="B140">
        <v>8009375</v>
      </c>
      <c r="C140">
        <v>7397293</v>
      </c>
      <c r="D140">
        <v>5586743</v>
      </c>
      <c r="E140">
        <v>5424477</v>
      </c>
      <c r="F140">
        <v>8649785</v>
      </c>
      <c r="G140">
        <v>6153662</v>
      </c>
      <c r="H140">
        <v>4579610</v>
      </c>
      <c r="I140">
        <v>5776539.5</v>
      </c>
      <c r="J140">
        <v>2131431.25</v>
      </c>
      <c r="K140">
        <v>1242029.5</v>
      </c>
      <c r="L140">
        <v>826545.375</v>
      </c>
      <c r="M140">
        <v>1743332.625</v>
      </c>
      <c r="N140">
        <v>4611941</v>
      </c>
      <c r="O140">
        <v>4069499.5</v>
      </c>
      <c r="P140">
        <v>4163700</v>
      </c>
      <c r="Q140">
        <v>4118773</v>
      </c>
      <c r="R140" s="2"/>
      <c r="S140" s="4" t="s">
        <v>421</v>
      </c>
      <c r="T140">
        <f t="shared" si="87"/>
        <v>6.903598627864338</v>
      </c>
      <c r="U140">
        <f t="shared" si="88"/>
        <v>6.8690728210492207</v>
      </c>
      <c r="V140">
        <f t="shared" si="89"/>
        <v>6.7471586935099728</v>
      </c>
      <c r="W140">
        <f t="shared" si="90"/>
        <v>6.7343578721125814</v>
      </c>
      <c r="X140">
        <f t="shared" si="91"/>
        <v>6.9370053127279299</v>
      </c>
      <c r="Y140">
        <f t="shared" si="92"/>
        <v>6.7891336382282752</v>
      </c>
      <c r="Z140">
        <f t="shared" si="93"/>
        <v>6.6608284950213958</v>
      </c>
      <c r="AA140">
        <f t="shared" si="94"/>
        <v>6.761667747395955</v>
      </c>
      <c r="AB140">
        <f t="shared" si="95"/>
        <v>6.3286713289009739</v>
      </c>
      <c r="AC140">
        <f t="shared" si="96"/>
        <v>6.0941319110861869</v>
      </c>
      <c r="AD140">
        <f t="shared" si="97"/>
        <v>5.9172667000988781</v>
      </c>
      <c r="AE140">
        <f t="shared" si="98"/>
        <v>6.2413802576894932</v>
      </c>
      <c r="AF140">
        <f t="shared" si="99"/>
        <v>6.6638837427817403</v>
      </c>
      <c r="AG140">
        <f t="shared" si="100"/>
        <v>6.6095409994575887</v>
      </c>
      <c r="AH140">
        <f t="shared" si="101"/>
        <v>6.6194794304835076</v>
      </c>
      <c r="AI140">
        <f t="shared" si="102"/>
        <v>6.6147678571265995</v>
      </c>
      <c r="AJ140">
        <f t="shared" si="103"/>
        <v>0</v>
      </c>
      <c r="AL140">
        <f t="shared" si="104"/>
        <v>6.5932465897209154</v>
      </c>
      <c r="AM140">
        <f t="shared" si="105"/>
        <v>0.29572006163444653</v>
      </c>
      <c r="AN140">
        <f t="shared" si="106"/>
        <v>1.049479147366956</v>
      </c>
      <c r="AO140">
        <f t="shared" si="107"/>
        <v>0.93272749168186997</v>
      </c>
      <c r="AP140">
        <f t="shared" si="108"/>
        <v>0.52046554751268581</v>
      </c>
      <c r="AQ140">
        <f t="shared" si="109"/>
        <v>0.47717859117079559</v>
      </c>
      <c r="AR140">
        <f t="shared" si="110"/>
        <v>1.1624464066017639</v>
      </c>
      <c r="AS140">
        <f t="shared" si="111"/>
        <v>0.66240703259931355</v>
      </c>
      <c r="AT140">
        <f t="shared" si="112"/>
        <v>0.22853338027509829</v>
      </c>
      <c r="AU140">
        <f t="shared" si="113"/>
        <v>0.56952902263098037</v>
      </c>
      <c r="AV140">
        <f t="shared" si="114"/>
        <v>-0.89468147462716052</v>
      </c>
      <c r="AW140">
        <f t="shared" si="115"/>
        <v>-1.6877944495078172</v>
      </c>
      <c r="AX140">
        <f t="shared" si="116"/>
        <v>-2.2858776840701722</v>
      </c>
      <c r="AY140">
        <f t="shared" si="117"/>
        <v>-1.1898629064482635</v>
      </c>
      <c r="AZ140">
        <f t="shared" si="118"/>
        <v>0.23886493418949328</v>
      </c>
      <c r="BA140">
        <f t="shared" si="119"/>
        <v>5.5100792440708923E-2</v>
      </c>
      <c r="BB140">
        <f t="shared" si="120"/>
        <v>8.8708356875090516E-2</v>
      </c>
      <c r="BC140">
        <f t="shared" si="121"/>
        <v>7.2775811308627467E-2</v>
      </c>
      <c r="BD140">
        <f t="shared" si="122"/>
        <v>0</v>
      </c>
    </row>
    <row r="141" spans="1:56" x14ac:dyDescent="0.2">
      <c r="A141" t="s">
        <v>219</v>
      </c>
      <c r="B141">
        <v>2341738.5</v>
      </c>
      <c r="C141">
        <v>1373943</v>
      </c>
      <c r="D141">
        <v>3205618.25</v>
      </c>
      <c r="E141">
        <v>1377837</v>
      </c>
      <c r="F141">
        <v>8846393</v>
      </c>
      <c r="G141">
        <v>4704391</v>
      </c>
      <c r="H141">
        <v>5073894.5</v>
      </c>
      <c r="I141">
        <v>4895322.5</v>
      </c>
      <c r="J141">
        <v>712090.5</v>
      </c>
      <c r="K141">
        <v>402516.5625</v>
      </c>
      <c r="L141">
        <v>519804.84379999997</v>
      </c>
      <c r="M141">
        <v>540376.25</v>
      </c>
      <c r="N141">
        <v>4680753.5</v>
      </c>
      <c r="O141">
        <v>6014905</v>
      </c>
      <c r="P141">
        <v>5345186.5</v>
      </c>
      <c r="Q141">
        <v>4036337.75</v>
      </c>
      <c r="R141" s="2" t="s">
        <v>396</v>
      </c>
      <c r="S141" s="4" t="s">
        <v>421</v>
      </c>
      <c r="T141">
        <f t="shared" si="87"/>
        <v>6.3695383961386485</v>
      </c>
      <c r="U141">
        <f t="shared" si="88"/>
        <v>6.1379687157665046</v>
      </c>
      <c r="V141">
        <f t="shared" si="89"/>
        <v>6.5059118019264321</v>
      </c>
      <c r="W141">
        <f t="shared" si="90"/>
        <v>6.1391978429796898</v>
      </c>
      <c r="X141">
        <f t="shared" si="91"/>
        <v>6.9467662289449761</v>
      </c>
      <c r="Y141">
        <f t="shared" si="92"/>
        <v>6.6725034104501999</v>
      </c>
      <c r="Z141">
        <f t="shared" si="93"/>
        <v>6.7053414328218217</v>
      </c>
      <c r="AA141">
        <f t="shared" si="94"/>
        <v>6.689781308060871</v>
      </c>
      <c r="AB141">
        <f t="shared" si="95"/>
        <v>5.8525351918853739</v>
      </c>
      <c r="AC141">
        <f t="shared" si="96"/>
        <v>5.6047837551495219</v>
      </c>
      <c r="AD141">
        <f t="shared" si="97"/>
        <v>5.7158403221557785</v>
      </c>
      <c r="AE141">
        <f t="shared" si="98"/>
        <v>5.7326962531541987</v>
      </c>
      <c r="AF141">
        <f t="shared" si="99"/>
        <v>6.6703157707133016</v>
      </c>
      <c r="AG141">
        <f t="shared" si="100"/>
        <v>6.7792287724403533</v>
      </c>
      <c r="AH141">
        <f t="shared" si="101"/>
        <v>6.7279628628671233</v>
      </c>
      <c r="AI141">
        <f t="shared" si="102"/>
        <v>6.6059874996917491</v>
      </c>
      <c r="AJ141" t="str">
        <f t="shared" si="103"/>
        <v>C00624</v>
      </c>
      <c r="AL141">
        <f t="shared" si="104"/>
        <v>6.3660224728216592</v>
      </c>
      <c r="AM141">
        <f t="shared" si="105"/>
        <v>0.43917352304251528</v>
      </c>
      <c r="AN141">
        <f t="shared" si="106"/>
        <v>8.0057725079407324E-3</v>
      </c>
      <c r="AO141">
        <f t="shared" si="107"/>
        <v>-0.51927938523078343</v>
      </c>
      <c r="AP141">
        <f t="shared" si="108"/>
        <v>0.31852860376382613</v>
      </c>
      <c r="AQ141">
        <f t="shared" si="109"/>
        <v>-0.5164806572822721</v>
      </c>
      <c r="AR141">
        <f t="shared" si="110"/>
        <v>1.3223560293435461</v>
      </c>
      <c r="AS141">
        <f t="shared" si="111"/>
        <v>0.69785841255933601</v>
      </c>
      <c r="AT141">
        <f t="shared" si="112"/>
        <v>0.77263073067206256</v>
      </c>
      <c r="AU141">
        <f t="shared" si="113"/>
        <v>0.73720025969750802</v>
      </c>
      <c r="AV141">
        <f t="shared" si="114"/>
        <v>-1.1692127462032267</v>
      </c>
      <c r="AW141">
        <f t="shared" si="115"/>
        <v>-1.7333438327484141</v>
      </c>
      <c r="AX141">
        <f t="shared" si="116"/>
        <v>-1.4804675522366093</v>
      </c>
      <c r="AY141">
        <f t="shared" si="117"/>
        <v>-1.4420865248885912</v>
      </c>
      <c r="AZ141">
        <f t="shared" si="118"/>
        <v>0.69287714747362972</v>
      </c>
      <c r="BA141">
        <f t="shared" si="119"/>
        <v>0.94087252062937454</v>
      </c>
      <c r="BB141">
        <f t="shared" si="120"/>
        <v>0.82413982413604092</v>
      </c>
      <c r="BC141">
        <f t="shared" si="121"/>
        <v>0.54640139780662389</v>
      </c>
      <c r="BD141" t="str">
        <f t="shared" si="122"/>
        <v>C00624</v>
      </c>
    </row>
    <row r="142" spans="1:56" x14ac:dyDescent="0.2">
      <c r="A142" t="s">
        <v>220</v>
      </c>
      <c r="B142">
        <v>4177338.5</v>
      </c>
      <c r="C142">
        <v>4489396</v>
      </c>
      <c r="D142">
        <v>1749008.875</v>
      </c>
      <c r="E142">
        <v>2822652.25</v>
      </c>
      <c r="F142">
        <v>4396606.5</v>
      </c>
      <c r="G142">
        <v>3945739.25</v>
      </c>
      <c r="H142">
        <v>2691804.5</v>
      </c>
      <c r="I142">
        <v>3416755.75</v>
      </c>
      <c r="J142">
        <v>2376393</v>
      </c>
      <c r="K142">
        <v>2423632.25</v>
      </c>
      <c r="L142">
        <v>2525401.5</v>
      </c>
      <c r="M142">
        <v>1934776.25</v>
      </c>
      <c r="N142">
        <v>4283476</v>
      </c>
      <c r="O142">
        <v>4013798.25</v>
      </c>
      <c r="P142">
        <v>3732366.25</v>
      </c>
      <c r="Q142">
        <v>3455035</v>
      </c>
      <c r="R142" s="2" t="s">
        <v>221</v>
      </c>
      <c r="S142" s="4" t="s">
        <v>421</v>
      </c>
      <c r="T142">
        <f t="shared" si="87"/>
        <v>6.6208996686397263</v>
      </c>
      <c r="U142">
        <f t="shared" si="88"/>
        <v>6.6521879152768122</v>
      </c>
      <c r="V142">
        <f t="shared" si="89"/>
        <v>6.2427920132258166</v>
      </c>
      <c r="W142">
        <f t="shared" si="90"/>
        <v>6.4506573764788797</v>
      </c>
      <c r="X142">
        <f t="shared" si="91"/>
        <v>6.643117597635622</v>
      </c>
      <c r="Y142">
        <f t="shared" si="92"/>
        <v>6.5961283819734904</v>
      </c>
      <c r="Z142">
        <f t="shared" si="93"/>
        <v>6.4300435148185233</v>
      </c>
      <c r="AA142">
        <f t="shared" si="94"/>
        <v>6.5336139339586685</v>
      </c>
      <c r="AB142">
        <f t="shared" si="95"/>
        <v>6.3759182644310206</v>
      </c>
      <c r="AC142">
        <f t="shared" si="96"/>
        <v>6.3844667227912586</v>
      </c>
      <c r="AD142">
        <f t="shared" si="97"/>
        <v>6.402330434087447</v>
      </c>
      <c r="AE142">
        <f t="shared" si="98"/>
        <v>6.2866307476448586</v>
      </c>
      <c r="AF142">
        <f t="shared" si="99"/>
        <v>6.6317963379237419</v>
      </c>
      <c r="AG142">
        <f t="shared" si="100"/>
        <v>6.6035555392741045</v>
      </c>
      <c r="AH142">
        <f t="shared" si="101"/>
        <v>6.5719842536568835</v>
      </c>
      <c r="AI142">
        <f t="shared" si="102"/>
        <v>6.5384524511978803</v>
      </c>
      <c r="AJ142" t="str">
        <f t="shared" si="103"/>
        <v>C00191</v>
      </c>
      <c r="AL142">
        <f t="shared" si="104"/>
        <v>6.4977859470634209</v>
      </c>
      <c r="AM142">
        <f t="shared" si="105"/>
        <v>0.13180833717561244</v>
      </c>
      <c r="AN142">
        <f t="shared" si="106"/>
        <v>0.93403592074966457</v>
      </c>
      <c r="AO142">
        <f t="shared" si="107"/>
        <v>1.1714127613011049</v>
      </c>
      <c r="AP142">
        <f t="shared" si="108"/>
        <v>-1.9345812207452997</v>
      </c>
      <c r="AQ142">
        <f t="shared" si="109"/>
        <v>-0.35755379055992748</v>
      </c>
      <c r="AR142">
        <f t="shared" si="110"/>
        <v>1.1025983157542691</v>
      </c>
      <c r="AS142">
        <f t="shared" si="111"/>
        <v>0.74610177942723521</v>
      </c>
      <c r="AT142">
        <f t="shared" si="112"/>
        <v>-0.51394649000572878</v>
      </c>
      <c r="AU142">
        <f t="shared" si="113"/>
        <v>0.27181882165399607</v>
      </c>
      <c r="AV142">
        <f t="shared" si="114"/>
        <v>-0.92458250550594645</v>
      </c>
      <c r="AW142">
        <f t="shared" si="115"/>
        <v>-0.85972728812429777</v>
      </c>
      <c r="AX142">
        <f t="shared" si="116"/>
        <v>-0.72419935659149981</v>
      </c>
      <c r="AY142">
        <f t="shared" si="117"/>
        <v>-1.6019866720360301</v>
      </c>
      <c r="AZ142">
        <f t="shared" si="118"/>
        <v>1.0167064825480248</v>
      </c>
      <c r="BA142">
        <f t="shared" si="119"/>
        <v>0.80244993964049038</v>
      </c>
      <c r="BB142">
        <f t="shared" si="120"/>
        <v>0.56292574645415516</v>
      </c>
      <c r="BC142">
        <f t="shared" si="121"/>
        <v>0.30852755603978299</v>
      </c>
      <c r="BD142" t="str">
        <f t="shared" si="122"/>
        <v>C00191</v>
      </c>
    </row>
    <row r="143" spans="1:56" x14ac:dyDescent="0.2">
      <c r="A143" t="s">
        <v>222</v>
      </c>
      <c r="B143">
        <v>4569833.5</v>
      </c>
      <c r="C143">
        <v>3666046</v>
      </c>
      <c r="D143">
        <v>2874229</v>
      </c>
      <c r="E143">
        <v>4113135</v>
      </c>
      <c r="F143">
        <v>8919168</v>
      </c>
      <c r="G143">
        <v>4527951.5</v>
      </c>
      <c r="H143">
        <v>5462947.5</v>
      </c>
      <c r="I143">
        <v>4741385.5</v>
      </c>
      <c r="J143">
        <v>9990325</v>
      </c>
      <c r="K143">
        <v>7063262.5</v>
      </c>
      <c r="L143">
        <v>6169650.5</v>
      </c>
      <c r="M143">
        <v>10485323</v>
      </c>
      <c r="N143">
        <v>4235588.5</v>
      </c>
      <c r="O143">
        <v>9458173</v>
      </c>
      <c r="P143">
        <v>5830583</v>
      </c>
      <c r="Q143">
        <v>4871653.5</v>
      </c>
      <c r="R143" s="2" t="s">
        <v>397</v>
      </c>
      <c r="S143" s="4" t="s">
        <v>421</v>
      </c>
      <c r="T143">
        <f t="shared" si="87"/>
        <v>6.6599003770176592</v>
      </c>
      <c r="U143">
        <f t="shared" si="88"/>
        <v>6.5641979100044932</v>
      </c>
      <c r="V143">
        <f t="shared" si="89"/>
        <v>6.4585213669555994</v>
      </c>
      <c r="W143">
        <f t="shared" si="90"/>
        <v>6.6141729640175351</v>
      </c>
      <c r="X143">
        <f t="shared" si="91"/>
        <v>6.9503243443019755</v>
      </c>
      <c r="Y143">
        <f t="shared" si="92"/>
        <v>6.6559017663703255</v>
      </c>
      <c r="Z143">
        <f t="shared" si="93"/>
        <v>6.7374270268792431</v>
      </c>
      <c r="AA143">
        <f t="shared" si="94"/>
        <v>6.6759052672186607</v>
      </c>
      <c r="AB143">
        <f t="shared" si="95"/>
        <v>6.9995796166955273</v>
      </c>
      <c r="AC143">
        <f t="shared" si="96"/>
        <v>6.8490053467273215</v>
      </c>
      <c r="AD143">
        <f t="shared" si="97"/>
        <v>6.7902605627009001</v>
      </c>
      <c r="AE143">
        <f t="shared" si="98"/>
        <v>7.0205818134334104</v>
      </c>
      <c r="AF143">
        <f t="shared" si="99"/>
        <v>6.6269137604863841</v>
      </c>
      <c r="AG143">
        <f t="shared" si="100"/>
        <v>6.975807253458032</v>
      </c>
      <c r="AH143">
        <f t="shared" si="101"/>
        <v>6.7657119820358771</v>
      </c>
      <c r="AI143">
        <f t="shared" si="102"/>
        <v>6.687676391203337</v>
      </c>
      <c r="AJ143" t="str">
        <f t="shared" si="103"/>
        <v>C00020</v>
      </c>
      <c r="AL143">
        <f t="shared" si="104"/>
        <v>6.7519929843441426</v>
      </c>
      <c r="AM143">
        <f t="shared" si="105"/>
        <v>0.16689632007215316</v>
      </c>
      <c r="AN143">
        <f t="shared" si="106"/>
        <v>-0.55179531392105963</v>
      </c>
      <c r="AO143">
        <f t="shared" si="107"/>
        <v>-1.1252199824325744</v>
      </c>
      <c r="AP143">
        <f t="shared" si="108"/>
        <v>-1.7584067597276478</v>
      </c>
      <c r="AQ143">
        <f t="shared" si="109"/>
        <v>-0.82578225971084784</v>
      </c>
      <c r="AR143">
        <f t="shared" si="110"/>
        <v>1.1883507070263122</v>
      </c>
      <c r="AS143">
        <f t="shared" si="111"/>
        <v>-0.57575396469062157</v>
      </c>
      <c r="AT143">
        <f t="shared" si="112"/>
        <v>-8.7275486113788034E-2</v>
      </c>
      <c r="AU143">
        <f t="shared" si="113"/>
        <v>-0.45589811142982312</v>
      </c>
      <c r="AV143">
        <f t="shared" si="114"/>
        <v>1.4834756826534414</v>
      </c>
      <c r="AW143">
        <f t="shared" si="115"/>
        <v>0.58127322604379894</v>
      </c>
      <c r="AX143">
        <f t="shared" si="116"/>
        <v>0.22928952741566419</v>
      </c>
      <c r="AY143">
        <f t="shared" si="117"/>
        <v>1.6093154658721687</v>
      </c>
      <c r="AZ143">
        <f t="shared" si="118"/>
        <v>-0.74944267077718574</v>
      </c>
      <c r="BA143">
        <f t="shared" si="119"/>
        <v>1.3410377713368948</v>
      </c>
      <c r="BB143">
        <f t="shared" si="120"/>
        <v>8.2200720098582258E-2</v>
      </c>
      <c r="BC143">
        <f t="shared" si="121"/>
        <v>-0.38536855164332001</v>
      </c>
      <c r="BD143" t="str">
        <f t="shared" si="122"/>
        <v>C00020</v>
      </c>
    </row>
    <row r="144" spans="1:56" x14ac:dyDescent="0.2">
      <c r="A144" t="s">
        <v>223</v>
      </c>
      <c r="B144">
        <v>8377901</v>
      </c>
      <c r="C144">
        <v>8365602.5</v>
      </c>
      <c r="D144">
        <v>970230.9375</v>
      </c>
      <c r="E144">
        <v>3030444.25</v>
      </c>
      <c r="F144">
        <v>1664640.875</v>
      </c>
      <c r="G144">
        <v>2794383.5</v>
      </c>
      <c r="H144">
        <v>645131.5</v>
      </c>
      <c r="I144">
        <v>903471.25</v>
      </c>
      <c r="J144">
        <v>68670.414059999996</v>
      </c>
      <c r="K144">
        <v>62752.292970000002</v>
      </c>
      <c r="L144">
        <v>72526.492190000004</v>
      </c>
      <c r="M144">
        <v>74778.453120000006</v>
      </c>
      <c r="N144">
        <v>69737.898440000004</v>
      </c>
      <c r="O144">
        <v>75717.726559999996</v>
      </c>
      <c r="P144">
        <v>83034.632809999996</v>
      </c>
      <c r="Q144">
        <v>91480.6875</v>
      </c>
      <c r="R144" s="2" t="s">
        <v>224</v>
      </c>
      <c r="S144" s="4" t="s">
        <v>421</v>
      </c>
      <c r="T144">
        <f t="shared" si="87"/>
        <v>6.9231352240834791</v>
      </c>
      <c r="U144">
        <f t="shared" si="88"/>
        <v>6.9224972247966212</v>
      </c>
      <c r="V144">
        <f t="shared" si="89"/>
        <v>5.9868751187453286</v>
      </c>
      <c r="W144">
        <f t="shared" si="90"/>
        <v>6.481506298859121</v>
      </c>
      <c r="X144">
        <f t="shared" si="91"/>
        <v>6.2213205544618937</v>
      </c>
      <c r="Y144">
        <f t="shared" si="92"/>
        <v>6.4462860082579514</v>
      </c>
      <c r="Z144">
        <f t="shared" si="93"/>
        <v>5.8096482478190064</v>
      </c>
      <c r="AA144">
        <f t="shared" si="94"/>
        <v>5.9559143371238292</v>
      </c>
      <c r="AB144">
        <f t="shared" si="95"/>
        <v>4.8367696660549164</v>
      </c>
      <c r="AC144">
        <f t="shared" si="96"/>
        <v>4.7976295995717884</v>
      </c>
      <c r="AD144">
        <f t="shared" si="97"/>
        <v>4.8604966729206343</v>
      </c>
      <c r="AE144">
        <f t="shared" si="98"/>
        <v>4.8737764770204395</v>
      </c>
      <c r="AF144">
        <f t="shared" si="99"/>
        <v>4.8434688557204373</v>
      </c>
      <c r="AG144">
        <f t="shared" si="100"/>
        <v>4.8791975657081696</v>
      </c>
      <c r="AH144">
        <f t="shared" si="101"/>
        <v>4.9192592694984532</v>
      </c>
      <c r="AI144">
        <f t="shared" si="102"/>
        <v>4.9613294197774565</v>
      </c>
      <c r="AJ144" t="str">
        <f t="shared" si="103"/>
        <v>C00492</v>
      </c>
      <c r="AL144">
        <f t="shared" si="104"/>
        <v>5.6074444087762201</v>
      </c>
      <c r="AM144">
        <f t="shared" si="105"/>
        <v>0.81495110405546489</v>
      </c>
      <c r="AN144">
        <f t="shared" si="106"/>
        <v>1.6144414171107304</v>
      </c>
      <c r="AO144">
        <f t="shared" si="107"/>
        <v>1.6136585489316666</v>
      </c>
      <c r="AP144">
        <f t="shared" si="108"/>
        <v>0.46558708624472861</v>
      </c>
      <c r="AQ144">
        <f t="shared" si="109"/>
        <v>1.0725329234272845</v>
      </c>
      <c r="AR144">
        <f t="shared" si="110"/>
        <v>0.75326745694413311</v>
      </c>
      <c r="AS144">
        <f t="shared" si="111"/>
        <v>1.029315250089704</v>
      </c>
      <c r="AT144">
        <f t="shared" si="112"/>
        <v>0.24811775582185658</v>
      </c>
      <c r="AU144">
        <f t="shared" si="113"/>
        <v>0.42759611786953611</v>
      </c>
      <c r="AV144">
        <f t="shared" si="114"/>
        <v>-0.94566991674245549</v>
      </c>
      <c r="AW144">
        <f t="shared" si="115"/>
        <v>-0.99369741960533176</v>
      </c>
      <c r="AX144">
        <f t="shared" si="116"/>
        <v>-0.91655527814923876</v>
      </c>
      <c r="AY144">
        <f t="shared" si="117"/>
        <v>-0.90026006235810652</v>
      </c>
      <c r="AZ144">
        <f t="shared" si="118"/>
        <v>-0.93744955894162119</v>
      </c>
      <c r="BA144">
        <f t="shared" si="119"/>
        <v>-0.89360802070707612</v>
      </c>
      <c r="BB144">
        <f t="shared" si="120"/>
        <v>-0.84444960667349389</v>
      </c>
      <c r="BC144">
        <f t="shared" si="121"/>
        <v>-0.79282669326231081</v>
      </c>
      <c r="BD144" t="str">
        <f t="shared" si="122"/>
        <v>C00492</v>
      </c>
    </row>
    <row r="145" spans="1:56" x14ac:dyDescent="0.2">
      <c r="A145" t="s">
        <v>225</v>
      </c>
      <c r="B145">
        <v>2109981.75</v>
      </c>
      <c r="C145">
        <v>1494872.625</v>
      </c>
      <c r="D145">
        <v>653805.0625</v>
      </c>
      <c r="E145">
        <v>1162665.75</v>
      </c>
      <c r="F145">
        <v>2224879</v>
      </c>
      <c r="G145">
        <v>1053253.5</v>
      </c>
      <c r="H145">
        <v>848064.5</v>
      </c>
      <c r="I145">
        <v>1017158.5</v>
      </c>
      <c r="J145">
        <v>761612.875</v>
      </c>
      <c r="K145">
        <v>423192.46879999997</v>
      </c>
      <c r="L145">
        <v>175415.26560000001</v>
      </c>
      <c r="M145">
        <v>523395.59379999997</v>
      </c>
      <c r="N145">
        <v>905978.6875</v>
      </c>
      <c r="O145">
        <v>953162.5</v>
      </c>
      <c r="P145">
        <v>957175.625</v>
      </c>
      <c r="Q145">
        <v>681124.75</v>
      </c>
      <c r="R145" s="2"/>
      <c r="S145" s="4" t="s">
        <v>421</v>
      </c>
      <c r="T145">
        <f t="shared" si="87"/>
        <v>6.3242786989429192</v>
      </c>
      <c r="U145">
        <f t="shared" si="88"/>
        <v>6.1746041889036976</v>
      </c>
      <c r="V145">
        <f t="shared" si="89"/>
        <v>5.8154482790576001</v>
      </c>
      <c r="W145">
        <f t="shared" si="90"/>
        <v>6.0654548791353928</v>
      </c>
      <c r="X145">
        <f t="shared" si="91"/>
        <v>6.3473063968624608</v>
      </c>
      <c r="Y145">
        <f t="shared" si="92"/>
        <v>6.0225329109777705</v>
      </c>
      <c r="Z145">
        <f t="shared" si="93"/>
        <v>5.9284288840124004</v>
      </c>
      <c r="AA145">
        <f t="shared" si="94"/>
        <v>6.0073886326787918</v>
      </c>
      <c r="AB145">
        <f t="shared" si="95"/>
        <v>5.8817342771492545</v>
      </c>
      <c r="AC145">
        <f t="shared" si="96"/>
        <v>5.6265379303227219</v>
      </c>
      <c r="AD145">
        <f t="shared" si="97"/>
        <v>5.244067385366141</v>
      </c>
      <c r="AE145">
        <f t="shared" si="98"/>
        <v>5.7188300622159733</v>
      </c>
      <c r="AF145">
        <f t="shared" si="99"/>
        <v>5.9571179813302191</v>
      </c>
      <c r="AG145">
        <f t="shared" si="100"/>
        <v>5.9791669476867604</v>
      </c>
      <c r="AH145">
        <f t="shared" si="101"/>
        <v>5.9809916305360682</v>
      </c>
      <c r="AI145">
        <f t="shared" si="102"/>
        <v>5.8332266615087658</v>
      </c>
      <c r="AJ145">
        <f t="shared" si="103"/>
        <v>0</v>
      </c>
      <c r="AL145">
        <f t="shared" si="104"/>
        <v>5.9316947341679329</v>
      </c>
      <c r="AM145">
        <f t="shared" si="105"/>
        <v>0.26583736975202144</v>
      </c>
      <c r="AN145">
        <f t="shared" si="106"/>
        <v>1.4767824596714776</v>
      </c>
      <c r="AO145">
        <f t="shared" si="107"/>
        <v>0.91375209949735647</v>
      </c>
      <c r="AP145">
        <f t="shared" si="108"/>
        <v>-0.43728410049636707</v>
      </c>
      <c r="AQ145">
        <f t="shared" si="109"/>
        <v>0.50316531905290118</v>
      </c>
      <c r="AR145">
        <f t="shared" si="110"/>
        <v>1.5634057133585808</v>
      </c>
      <c r="AS145">
        <f t="shared" si="111"/>
        <v>0.34170582147488654</v>
      </c>
      <c r="AT145">
        <f t="shared" si="112"/>
        <v>-1.228514320081839E-2</v>
      </c>
      <c r="AU145">
        <f t="shared" si="113"/>
        <v>0.28473761451020846</v>
      </c>
      <c r="AV145">
        <f t="shared" si="114"/>
        <v>-0.18793616964117046</v>
      </c>
      <c r="AW145">
        <f t="shared" si="115"/>
        <v>-1.1479078510664906</v>
      </c>
      <c r="AX145">
        <f t="shared" si="116"/>
        <v>-2.5866466759102562</v>
      </c>
      <c r="AY145">
        <f t="shared" si="117"/>
        <v>-0.80073268912690532</v>
      </c>
      <c r="AZ145">
        <f t="shared" si="118"/>
        <v>9.5634587364453294E-2</v>
      </c>
      <c r="BA145">
        <f t="shared" si="119"/>
        <v>0.17857614812812256</v>
      </c>
      <c r="BB145">
        <f t="shared" si="120"/>
        <v>0.18544005462482735</v>
      </c>
      <c r="BC145">
        <f t="shared" si="121"/>
        <v>-0.37040718824076602</v>
      </c>
      <c r="BD145">
        <f t="shared" si="122"/>
        <v>0</v>
      </c>
    </row>
    <row r="146" spans="1:56" x14ac:dyDescent="0.2">
      <c r="A146" t="s">
        <v>226</v>
      </c>
      <c r="B146">
        <v>21548396</v>
      </c>
      <c r="C146">
        <v>17508840</v>
      </c>
      <c r="D146">
        <v>28883252</v>
      </c>
      <c r="E146">
        <v>14826102</v>
      </c>
      <c r="F146">
        <v>31864872</v>
      </c>
      <c r="G146">
        <v>24611332</v>
      </c>
      <c r="H146">
        <v>21573176</v>
      </c>
      <c r="I146">
        <v>22432472</v>
      </c>
      <c r="J146">
        <v>40079352</v>
      </c>
      <c r="K146">
        <v>35175576</v>
      </c>
      <c r="L146">
        <v>39415304</v>
      </c>
      <c r="M146">
        <v>40023660</v>
      </c>
      <c r="N146">
        <v>43617676</v>
      </c>
      <c r="O146">
        <v>42912112</v>
      </c>
      <c r="P146">
        <v>37690168</v>
      </c>
      <c r="Q146">
        <v>45026488</v>
      </c>
      <c r="R146" s="2"/>
      <c r="S146" s="4" t="s">
        <v>421</v>
      </c>
      <c r="T146">
        <f t="shared" si="87"/>
        <v>7.3334149480802733</v>
      </c>
      <c r="U146">
        <f t="shared" si="88"/>
        <v>7.2432573740510664</v>
      </c>
      <c r="V146">
        <f t="shared" si="89"/>
        <v>7.4606460893873674</v>
      </c>
      <c r="W146">
        <f t="shared" si="90"/>
        <v>7.1710269836371179</v>
      </c>
      <c r="X146">
        <f t="shared" si="91"/>
        <v>7.503312178274685</v>
      </c>
      <c r="Y146">
        <f t="shared" si="92"/>
        <v>7.3911351189687728</v>
      </c>
      <c r="Z146">
        <f t="shared" si="93"/>
        <v>7.33391408658321</v>
      </c>
      <c r="AA146">
        <f t="shared" si="94"/>
        <v>7.3508771343410801</v>
      </c>
      <c r="AB146">
        <f t="shared" si="95"/>
        <v>7.6029206912748757</v>
      </c>
      <c r="AC146">
        <f t="shared" si="96"/>
        <v>7.5462412177364477</v>
      </c>
      <c r="AD146">
        <f t="shared" si="97"/>
        <v>7.5956648805123335</v>
      </c>
      <c r="AE146">
        <f t="shared" si="98"/>
        <v>7.6023168005701605</v>
      </c>
      <c r="AF146">
        <f t="shared" si="99"/>
        <v>7.6396625221490595</v>
      </c>
      <c r="AG146">
        <f t="shared" si="100"/>
        <v>7.6325798896753847</v>
      </c>
      <c r="AH146">
        <f t="shared" si="101"/>
        <v>7.5762280732763587</v>
      </c>
      <c r="AI146">
        <f t="shared" si="102"/>
        <v>7.6534680739515579</v>
      </c>
      <c r="AJ146">
        <f t="shared" si="103"/>
        <v>0</v>
      </c>
      <c r="AL146">
        <f t="shared" si="104"/>
        <v>7.4772916289043589</v>
      </c>
      <c r="AM146">
        <f t="shared" si="105"/>
        <v>0.15398504992521422</v>
      </c>
      <c r="AN146">
        <f t="shared" si="106"/>
        <v>-0.93435486687806457</v>
      </c>
      <c r="AO146">
        <f t="shared" si="107"/>
        <v>-1.5198504982591214</v>
      </c>
      <c r="AP146">
        <f t="shared" si="108"/>
        <v>-0.10809841296330891</v>
      </c>
      <c r="AQ146">
        <f t="shared" si="109"/>
        <v>-1.9889245444020984</v>
      </c>
      <c r="AR146">
        <f t="shared" si="110"/>
        <v>0.1689810107082696</v>
      </c>
      <c r="AS146">
        <f t="shared" si="111"/>
        <v>-0.55951217327545533</v>
      </c>
      <c r="AT146">
        <f t="shared" si="112"/>
        <v>-0.93111339309097219</v>
      </c>
      <c r="AU146">
        <f t="shared" si="113"/>
        <v>-0.82095303813373055</v>
      </c>
      <c r="AV146">
        <f t="shared" si="114"/>
        <v>0.81585233392157808</v>
      </c>
      <c r="AW146">
        <f t="shared" si="115"/>
        <v>0.4477680714171634</v>
      </c>
      <c r="AX146">
        <f t="shared" si="116"/>
        <v>0.76873210526258717</v>
      </c>
      <c r="AY146">
        <f t="shared" si="117"/>
        <v>0.81193058499199999</v>
      </c>
      <c r="AZ146">
        <f t="shared" si="118"/>
        <v>1.0544588148236409</v>
      </c>
      <c r="BA146">
        <f t="shared" si="119"/>
        <v>1.0084632296865472</v>
      </c>
      <c r="BB146">
        <f t="shared" si="120"/>
        <v>0.64250681751280492</v>
      </c>
      <c r="BC146">
        <f t="shared" si="121"/>
        <v>1.1441139586782121</v>
      </c>
      <c r="BD146">
        <f t="shared" si="122"/>
        <v>0</v>
      </c>
    </row>
    <row r="147" spans="1:56" x14ac:dyDescent="0.2">
      <c r="A147" t="s">
        <v>227</v>
      </c>
      <c r="B147">
        <v>1844995712</v>
      </c>
      <c r="C147">
        <v>1779056256</v>
      </c>
      <c r="D147">
        <v>1588174080</v>
      </c>
      <c r="E147">
        <v>1362271872</v>
      </c>
      <c r="F147">
        <v>1577386752</v>
      </c>
      <c r="G147">
        <v>1360244736</v>
      </c>
      <c r="H147">
        <v>1289595136</v>
      </c>
      <c r="I147">
        <v>1373518208</v>
      </c>
      <c r="J147">
        <v>637820736</v>
      </c>
      <c r="K147">
        <v>435572896</v>
      </c>
      <c r="L147">
        <v>554584256</v>
      </c>
      <c r="M147">
        <v>681887360</v>
      </c>
      <c r="N147">
        <v>952504192</v>
      </c>
      <c r="O147">
        <v>1052811712</v>
      </c>
      <c r="P147">
        <v>1080291456</v>
      </c>
      <c r="Q147">
        <v>945963456</v>
      </c>
      <c r="R147" s="2" t="s">
        <v>228</v>
      </c>
      <c r="S147" s="4" t="s">
        <v>421</v>
      </c>
      <c r="T147">
        <f t="shared" si="87"/>
        <v>9.2659953611417443</v>
      </c>
      <c r="U147">
        <f t="shared" si="88"/>
        <v>9.2501896812396804</v>
      </c>
      <c r="V147">
        <f t="shared" si="89"/>
        <v>9.2008981037837003</v>
      </c>
      <c r="W147">
        <f t="shared" si="90"/>
        <v>9.1342637894611922</v>
      </c>
      <c r="X147">
        <f t="shared" si="91"/>
        <v>9.1979381889957388</v>
      </c>
      <c r="Y147">
        <f t="shared" si="92"/>
        <v>9.1336170539085231</v>
      </c>
      <c r="Z147">
        <f t="shared" si="93"/>
        <v>9.1104533864241493</v>
      </c>
      <c r="AA147">
        <f t="shared" si="94"/>
        <v>9.1378344210055893</v>
      </c>
      <c r="AB147">
        <f t="shared" si="95"/>
        <v>8.8046986343550238</v>
      </c>
      <c r="AC147">
        <f t="shared" si="96"/>
        <v>8.639060847475232</v>
      </c>
      <c r="AD147">
        <f t="shared" si="97"/>
        <v>8.7439675363031899</v>
      </c>
      <c r="AE147">
        <f t="shared" si="98"/>
        <v>8.8337126400954187</v>
      </c>
      <c r="AF147">
        <f t="shared" si="99"/>
        <v>8.9788668956951234</v>
      </c>
      <c r="AG147">
        <f t="shared" si="100"/>
        <v>9.0223507076041134</v>
      </c>
      <c r="AH147">
        <f t="shared" si="101"/>
        <v>9.0335409412795737</v>
      </c>
      <c r="AI147">
        <f t="shared" si="102"/>
        <v>8.9758743592727228</v>
      </c>
      <c r="AJ147" t="str">
        <f t="shared" si="103"/>
        <v>C00025</v>
      </c>
      <c r="AL147">
        <f t="shared" si="104"/>
        <v>9.0289539092525448</v>
      </c>
      <c r="AM147">
        <f t="shared" si="105"/>
        <v>0.18811880810980736</v>
      </c>
      <c r="AN147">
        <f t="shared" si="106"/>
        <v>1.2600624800409925</v>
      </c>
      <c r="AO147">
        <f t="shared" si="107"/>
        <v>1.1760428115087647</v>
      </c>
      <c r="AP147">
        <f t="shared" si="108"/>
        <v>0.91401915767396036</v>
      </c>
      <c r="AQ147">
        <f t="shared" si="109"/>
        <v>0.55980516391097201</v>
      </c>
      <c r="AR147">
        <f t="shared" si="110"/>
        <v>0.89828487348567332</v>
      </c>
      <c r="AS147">
        <f t="shared" si="111"/>
        <v>0.55636725379891327</v>
      </c>
      <c r="AT147">
        <f t="shared" si="112"/>
        <v>0.43323407154500015</v>
      </c>
      <c r="AU147">
        <f t="shared" si="113"/>
        <v>0.57878588986960589</v>
      </c>
      <c r="AV147">
        <f t="shared" si="114"/>
        <v>-1.1920938536173395</v>
      </c>
      <c r="AW147">
        <f t="shared" si="115"/>
        <v>-2.0725894752093437</v>
      </c>
      <c r="AX147">
        <f t="shared" si="116"/>
        <v>-1.5149275918386891</v>
      </c>
      <c r="AY147">
        <f t="shared" si="117"/>
        <v>-1.0378615042211055</v>
      </c>
      <c r="AZ147">
        <f t="shared" si="118"/>
        <v>-0.26625202477460397</v>
      </c>
      <c r="BA147">
        <f t="shared" si="119"/>
        <v>-3.5101230519050758E-2</v>
      </c>
      <c r="BB147">
        <f t="shared" si="120"/>
        <v>2.4383697053573804E-2</v>
      </c>
      <c r="BC147">
        <f t="shared" si="121"/>
        <v>-0.28215971870733303</v>
      </c>
      <c r="BD147" t="str">
        <f t="shared" si="122"/>
        <v>C00025</v>
      </c>
    </row>
    <row r="148" spans="1:56" x14ac:dyDescent="0.2">
      <c r="A148" t="s">
        <v>229</v>
      </c>
      <c r="B148">
        <v>101241104</v>
      </c>
      <c r="C148">
        <v>101285736</v>
      </c>
      <c r="D148">
        <v>78190608</v>
      </c>
      <c r="E148">
        <v>46574188</v>
      </c>
      <c r="F148">
        <v>56835892</v>
      </c>
      <c r="G148">
        <v>40816640</v>
      </c>
      <c r="H148">
        <v>45604800</v>
      </c>
      <c r="I148">
        <v>42340236</v>
      </c>
      <c r="J148">
        <v>23140240</v>
      </c>
      <c r="K148">
        <v>12845523</v>
      </c>
      <c r="L148">
        <v>12700062</v>
      </c>
      <c r="M148">
        <v>19199718</v>
      </c>
      <c r="N148">
        <v>30420784</v>
      </c>
      <c r="O148">
        <v>33426782</v>
      </c>
      <c r="P148">
        <v>35266568</v>
      </c>
      <c r="Q148">
        <v>25166850</v>
      </c>
      <c r="R148" s="2"/>
      <c r="S148" s="4" t="s">
        <v>421</v>
      </c>
      <c r="T148">
        <f t="shared" si="87"/>
        <v>8.0053568723464874</v>
      </c>
      <c r="U148">
        <f t="shared" si="88"/>
        <v>8.0055482882756568</v>
      </c>
      <c r="V148">
        <f t="shared" si="89"/>
        <v>7.8931545901604121</v>
      </c>
      <c r="W148">
        <f t="shared" si="90"/>
        <v>7.6681452919055122</v>
      </c>
      <c r="X148">
        <f t="shared" si="91"/>
        <v>7.7546226803355642</v>
      </c>
      <c r="Y148">
        <f t="shared" si="92"/>
        <v>7.6108372510042805</v>
      </c>
      <c r="Z148">
        <f t="shared" si="93"/>
        <v>7.6590105554671615</v>
      </c>
      <c r="AA148">
        <f t="shared" si="94"/>
        <v>7.6267532744016755</v>
      </c>
      <c r="AB148">
        <f t="shared" si="95"/>
        <v>7.3643678589430923</v>
      </c>
      <c r="AC148">
        <f t="shared" si="96"/>
        <v>7.1087517910772657</v>
      </c>
      <c r="AD148">
        <f t="shared" si="97"/>
        <v>7.1038058411285672</v>
      </c>
      <c r="AE148">
        <f t="shared" si="98"/>
        <v>7.2832948499565022</v>
      </c>
      <c r="AF148">
        <f t="shared" si="99"/>
        <v>7.4831704024351353</v>
      </c>
      <c r="AG148">
        <f t="shared" si="100"/>
        <v>7.5240945690271417</v>
      </c>
      <c r="AH148">
        <f t="shared" si="101"/>
        <v>7.5473631979384228</v>
      </c>
      <c r="AI148">
        <f t="shared" si="102"/>
        <v>7.4008288606326387</v>
      </c>
      <c r="AJ148">
        <f t="shared" si="103"/>
        <v>0</v>
      </c>
      <c r="AL148">
        <f t="shared" si="104"/>
        <v>7.5649441359397205</v>
      </c>
      <c r="AM148">
        <f t="shared" si="105"/>
        <v>0.27484985678383839</v>
      </c>
      <c r="AN148">
        <f t="shared" si="106"/>
        <v>1.602375717274392</v>
      </c>
      <c r="AO148">
        <f t="shared" si="107"/>
        <v>1.6030721554367007</v>
      </c>
      <c r="AP148">
        <f t="shared" si="108"/>
        <v>1.1941445342604629</v>
      </c>
      <c r="AQ148">
        <f t="shared" si="109"/>
        <v>0.37548193465844332</v>
      </c>
      <c r="AR148">
        <f t="shared" si="110"/>
        <v>0.69011694826903458</v>
      </c>
      <c r="AS148">
        <f t="shared" si="111"/>
        <v>0.16697521913083513</v>
      </c>
      <c r="AT148">
        <f t="shared" si="112"/>
        <v>0.34224656555459498</v>
      </c>
      <c r="AU148">
        <f t="shared" si="113"/>
        <v>0.22488328422367035</v>
      </c>
      <c r="AV148">
        <f t="shared" si="114"/>
        <v>-0.7297667146116642</v>
      </c>
      <c r="AW148">
        <f t="shared" si="115"/>
        <v>-1.6597874570523683</v>
      </c>
      <c r="AX148">
        <f t="shared" si="116"/>
        <v>-1.6777825544723697</v>
      </c>
      <c r="AY148">
        <f t="shared" si="117"/>
        <v>-1.0247387038106679</v>
      </c>
      <c r="AZ148">
        <f t="shared" si="118"/>
        <v>-0.29752147030914367</v>
      </c>
      <c r="BA148">
        <f t="shared" si="119"/>
        <v>-0.14862502527955043</v>
      </c>
      <c r="BB148">
        <f t="shared" si="120"/>
        <v>-6.3965607284724127E-2</v>
      </c>
      <c r="BC148">
        <f t="shared" si="121"/>
        <v>-0.59710882598768755</v>
      </c>
      <c r="BD148">
        <f t="shared" si="122"/>
        <v>0</v>
      </c>
    </row>
    <row r="149" spans="1:56" x14ac:dyDescent="0.2">
      <c r="A149" t="s">
        <v>230</v>
      </c>
      <c r="B149">
        <v>36498.191409999999</v>
      </c>
      <c r="C149">
        <v>26787.689450000002</v>
      </c>
      <c r="D149">
        <v>53678.164060000003</v>
      </c>
      <c r="E149">
        <v>39503.601560000003</v>
      </c>
      <c r="F149">
        <v>213026</v>
      </c>
      <c r="G149">
        <v>45191.996090000001</v>
      </c>
      <c r="H149">
        <v>111776.9531</v>
      </c>
      <c r="I149">
        <v>68263.015620000006</v>
      </c>
      <c r="J149">
        <v>167313.98439999999</v>
      </c>
      <c r="K149">
        <v>258734.35939999999</v>
      </c>
      <c r="L149">
        <v>281059.0625</v>
      </c>
      <c r="M149">
        <v>386968.625</v>
      </c>
      <c r="N149">
        <v>157730.32810000001</v>
      </c>
      <c r="O149">
        <v>402743.46879999997</v>
      </c>
      <c r="P149">
        <v>212232.4375</v>
      </c>
      <c r="Q149">
        <v>205763.3125</v>
      </c>
      <c r="R149" s="2" t="s">
        <v>231</v>
      </c>
      <c r="S149" s="4" t="s">
        <v>421</v>
      </c>
      <c r="T149">
        <f t="shared" si="87"/>
        <v>4.5622713444532526</v>
      </c>
      <c r="U149">
        <f t="shared" si="88"/>
        <v>4.4279352555122706</v>
      </c>
      <c r="V149">
        <f t="shared" si="89"/>
        <v>4.7297976533560453</v>
      </c>
      <c r="W149">
        <f t="shared" si="90"/>
        <v>4.5966366922424235</v>
      </c>
      <c r="X149">
        <f t="shared" si="91"/>
        <v>5.3284326126754671</v>
      </c>
      <c r="Y149">
        <f t="shared" si="92"/>
        <v>4.6550615241532247</v>
      </c>
      <c r="Z149">
        <f t="shared" si="93"/>
        <v>5.048352267116603</v>
      </c>
      <c r="AA149">
        <f t="shared" si="94"/>
        <v>4.8341854699695297</v>
      </c>
      <c r="AB149">
        <f t="shared" si="95"/>
        <v>5.2235322415836443</v>
      </c>
      <c r="AC149">
        <f t="shared" si="96"/>
        <v>5.412854105975784</v>
      </c>
      <c r="AD149">
        <f t="shared" si="97"/>
        <v>5.4487975932948114</v>
      </c>
      <c r="AE149">
        <f t="shared" si="98"/>
        <v>5.5876757543167281</v>
      </c>
      <c r="AF149">
        <f t="shared" si="99"/>
        <v>5.1979152067094745</v>
      </c>
      <c r="AG149">
        <f t="shared" si="100"/>
        <v>5.6050285062926974</v>
      </c>
      <c r="AH149">
        <f t="shared" si="101"/>
        <v>5.3268117619906006</v>
      </c>
      <c r="AI149">
        <f t="shared" si="102"/>
        <v>5.3133679428308866</v>
      </c>
      <c r="AJ149" t="str">
        <f t="shared" si="103"/>
        <v>C05822</v>
      </c>
      <c r="AL149">
        <f t="shared" si="104"/>
        <v>5.0811659957795907</v>
      </c>
      <c r="AM149">
        <f t="shared" si="105"/>
        <v>0.39015249249139422</v>
      </c>
      <c r="AN149">
        <f t="shared" si="106"/>
        <v>-1.329979075650231</v>
      </c>
      <c r="AO149">
        <f t="shared" si="107"/>
        <v>-1.6742959556556689</v>
      </c>
      <c r="AP149">
        <f t="shared" si="108"/>
        <v>-0.90059233039833964</v>
      </c>
      <c r="AQ149">
        <f t="shared" si="109"/>
        <v>-1.2418972398282311</v>
      </c>
      <c r="AR149">
        <f t="shared" si="110"/>
        <v>0.63376915861002847</v>
      </c>
      <c r="AS149">
        <f t="shared" si="111"/>
        <v>-1.0921485312201735</v>
      </c>
      <c r="AT149">
        <f t="shared" si="112"/>
        <v>-8.4104880257074091E-2</v>
      </c>
      <c r="AU149">
        <f t="shared" si="113"/>
        <v>-0.63303587844055309</v>
      </c>
      <c r="AV149">
        <f t="shared" si="114"/>
        <v>0.36489897807635763</v>
      </c>
      <c r="AW149">
        <f t="shared" si="115"/>
        <v>0.85014991978683685</v>
      </c>
      <c r="AX149">
        <f t="shared" si="116"/>
        <v>0.94227668563037492</v>
      </c>
      <c r="AY149">
        <f t="shared" si="117"/>
        <v>1.2982353522919241</v>
      </c>
      <c r="AZ149">
        <f t="shared" si="118"/>
        <v>0.29923994637163304</v>
      </c>
      <c r="BA149">
        <f t="shared" si="119"/>
        <v>1.3427121973971801</v>
      </c>
      <c r="BB149">
        <f t="shared" si="120"/>
        <v>0.62961475561104663</v>
      </c>
      <c r="BC149">
        <f t="shared" si="121"/>
        <v>0.59515689767486935</v>
      </c>
      <c r="BD149" t="str">
        <f t="shared" si="122"/>
        <v>C05822</v>
      </c>
    </row>
    <row r="150" spans="1:56" x14ac:dyDescent="0.2">
      <c r="A150" t="s">
        <v>232</v>
      </c>
      <c r="B150">
        <v>430781888</v>
      </c>
      <c r="C150">
        <v>313068064</v>
      </c>
      <c r="D150">
        <v>353194144</v>
      </c>
      <c r="E150">
        <v>171081904</v>
      </c>
      <c r="F150">
        <v>292926816</v>
      </c>
      <c r="G150">
        <v>168682624</v>
      </c>
      <c r="H150">
        <v>148846608</v>
      </c>
      <c r="I150">
        <v>150145328</v>
      </c>
      <c r="J150">
        <v>100369992</v>
      </c>
      <c r="K150">
        <v>54340852</v>
      </c>
      <c r="L150">
        <v>67745088</v>
      </c>
      <c r="M150">
        <v>102390040</v>
      </c>
      <c r="N150">
        <v>85473024</v>
      </c>
      <c r="O150">
        <v>116804136</v>
      </c>
      <c r="P150">
        <v>74986000</v>
      </c>
      <c r="Q150">
        <v>88198984</v>
      </c>
      <c r="R150" s="2" t="s">
        <v>233</v>
      </c>
      <c r="S150" s="4" t="s">
        <v>421</v>
      </c>
      <c r="T150">
        <f t="shared" si="87"/>
        <v>8.6342574353246118</v>
      </c>
      <c r="U150">
        <f t="shared" si="88"/>
        <v>8.4956387675978515</v>
      </c>
      <c r="V150">
        <f t="shared" si="89"/>
        <v>8.5480134943121868</v>
      </c>
      <c r="W150">
        <f t="shared" si="90"/>
        <v>8.2332040749498194</v>
      </c>
      <c r="X150">
        <f t="shared" si="91"/>
        <v>8.4667591310115462</v>
      </c>
      <c r="Y150">
        <f t="shared" si="92"/>
        <v>8.227070348211079</v>
      </c>
      <c r="Z150">
        <f t="shared" si="93"/>
        <v>8.1727389421492358</v>
      </c>
      <c r="AA150">
        <f t="shared" si="94"/>
        <v>8.176511823012607</v>
      </c>
      <c r="AB150">
        <f t="shared" si="95"/>
        <v>8.0016038895343158</v>
      </c>
      <c r="AC150">
        <f t="shared" si="96"/>
        <v>7.7351264433567675</v>
      </c>
      <c r="AD150">
        <f t="shared" si="97"/>
        <v>7.8308778112537309</v>
      </c>
      <c r="AE150">
        <f t="shared" si="98"/>
        <v>8.0102577126611187</v>
      </c>
      <c r="AF150">
        <f t="shared" si="99"/>
        <v>7.9318290693888907</v>
      </c>
      <c r="AG150">
        <f t="shared" si="100"/>
        <v>8.0674582212881489</v>
      </c>
      <c r="AH150">
        <f t="shared" si="101"/>
        <v>7.8749801875210945</v>
      </c>
      <c r="AI150">
        <f t="shared" si="102"/>
        <v>7.9454635823457078</v>
      </c>
      <c r="AJ150" t="str">
        <f t="shared" si="103"/>
        <v>C00051</v>
      </c>
      <c r="AL150">
        <f t="shared" si="104"/>
        <v>8.1469869333699201</v>
      </c>
      <c r="AM150">
        <f t="shared" si="105"/>
        <v>0.27252535555110835</v>
      </c>
      <c r="AN150">
        <f t="shared" si="106"/>
        <v>1.7879822630423496</v>
      </c>
      <c r="AO150">
        <f t="shared" si="107"/>
        <v>1.2793372327608856</v>
      </c>
      <c r="AP150">
        <f t="shared" si="108"/>
        <v>1.4715201825213646</v>
      </c>
      <c r="AQ150">
        <f t="shared" si="109"/>
        <v>0.3163637431296939</v>
      </c>
      <c r="AR150">
        <f t="shared" si="110"/>
        <v>1.1733667753408628</v>
      </c>
      <c r="AS150">
        <f t="shared" si="111"/>
        <v>0.29385674840864617</v>
      </c>
      <c r="AT150">
        <f t="shared" si="112"/>
        <v>9.4493992044297259E-2</v>
      </c>
      <c r="AU150">
        <f t="shared" si="113"/>
        <v>0.10833813823664556</v>
      </c>
      <c r="AV150">
        <f t="shared" si="114"/>
        <v>-0.53346611929597032</v>
      </c>
      <c r="AW150">
        <f t="shared" si="115"/>
        <v>-1.5112740213851914</v>
      </c>
      <c r="AX150">
        <f t="shared" si="116"/>
        <v>-1.1599255470264207</v>
      </c>
      <c r="AY150">
        <f t="shared" si="117"/>
        <v>-0.50171192486770155</v>
      </c>
      <c r="AZ150">
        <f t="shared" si="118"/>
        <v>-0.78949668204608414</v>
      </c>
      <c r="BA150">
        <f t="shared" si="119"/>
        <v>-0.29182133134344868</v>
      </c>
      <c r="BB150">
        <f t="shared" si="120"/>
        <v>-0.99809702219731433</v>
      </c>
      <c r="BC150">
        <f t="shared" si="121"/>
        <v>-0.73946642732264722</v>
      </c>
      <c r="BD150" t="str">
        <f t="shared" si="122"/>
        <v>C00051</v>
      </c>
    </row>
    <row r="151" spans="1:56" x14ac:dyDescent="0.2">
      <c r="A151" t="s">
        <v>234</v>
      </c>
      <c r="B151">
        <v>59401332</v>
      </c>
      <c r="C151">
        <v>24996930</v>
      </c>
      <c r="D151">
        <v>37137820</v>
      </c>
      <c r="E151">
        <v>30269332</v>
      </c>
      <c r="F151">
        <v>58671492</v>
      </c>
      <c r="G151">
        <v>29309116</v>
      </c>
      <c r="H151">
        <v>30025070</v>
      </c>
      <c r="I151">
        <v>34874780</v>
      </c>
      <c r="J151">
        <v>24414810</v>
      </c>
      <c r="K151">
        <v>9795544</v>
      </c>
      <c r="L151">
        <v>6759167</v>
      </c>
      <c r="M151">
        <v>13066835</v>
      </c>
      <c r="N151">
        <v>13693710</v>
      </c>
      <c r="O151">
        <v>24594404</v>
      </c>
      <c r="P151">
        <v>13759822</v>
      </c>
      <c r="Q151">
        <v>9700636</v>
      </c>
      <c r="R151" s="2"/>
      <c r="S151" s="4" t="s">
        <v>421</v>
      </c>
      <c r="T151">
        <f t="shared" si="87"/>
        <v>7.7737961835967493</v>
      </c>
      <c r="U151">
        <f t="shared" si="88"/>
        <v>7.3978866740348463</v>
      </c>
      <c r="V151">
        <f t="shared" si="89"/>
        <v>7.5698164069493297</v>
      </c>
      <c r="W151">
        <f t="shared" si="90"/>
        <v>7.481002836816665</v>
      </c>
      <c r="X151">
        <f t="shared" si="91"/>
        <v>7.76842713234669</v>
      </c>
      <c r="Y151">
        <f t="shared" si="92"/>
        <v>7.4670027197652304</v>
      </c>
      <c r="Z151">
        <f t="shared" si="93"/>
        <v>7.4774840285837962</v>
      </c>
      <c r="AA151">
        <f t="shared" si="94"/>
        <v>7.5425114766375714</v>
      </c>
      <c r="AB151">
        <f t="shared" si="95"/>
        <v>7.3876533488833971</v>
      </c>
      <c r="AC151">
        <f t="shared" si="96"/>
        <v>6.9910285597424693</v>
      </c>
      <c r="AD151">
        <f t="shared" si="97"/>
        <v>6.8298931767708346</v>
      </c>
      <c r="AE151">
        <f t="shared" si="98"/>
        <v>7.1161704071298937</v>
      </c>
      <c r="AF151">
        <f t="shared" si="99"/>
        <v>7.1365211263111048</v>
      </c>
      <c r="AG151">
        <f t="shared" si="100"/>
        <v>7.3908363026974468</v>
      </c>
      <c r="AH151">
        <f t="shared" si="101"/>
        <v>7.1386128158095365</v>
      </c>
      <c r="AI151">
        <f t="shared" si="102"/>
        <v>6.986800208723535</v>
      </c>
      <c r="AJ151">
        <f t="shared" si="103"/>
        <v>0</v>
      </c>
      <c r="AL151">
        <f t="shared" si="104"/>
        <v>7.3409652127999445</v>
      </c>
      <c r="AM151">
        <f t="shared" si="105"/>
        <v>0.27898150037205349</v>
      </c>
      <c r="AN151">
        <f t="shared" si="106"/>
        <v>1.5514683598001142</v>
      </c>
      <c r="AO151">
        <f t="shared" si="107"/>
        <v>0.20403310312329168</v>
      </c>
      <c r="AP151">
        <f t="shared" si="108"/>
        <v>0.82030956835555802</v>
      </c>
      <c r="AQ151">
        <f t="shared" si="109"/>
        <v>0.50196025123516941</v>
      </c>
      <c r="AR151">
        <f t="shared" si="110"/>
        <v>1.5322231724206679</v>
      </c>
      <c r="AS151">
        <f t="shared" si="111"/>
        <v>0.45177729274952144</v>
      </c>
      <c r="AT151">
        <f t="shared" si="112"/>
        <v>0.48934719901422991</v>
      </c>
      <c r="AU151">
        <f t="shared" si="113"/>
        <v>0.72243594492409724</v>
      </c>
      <c r="AV151">
        <f t="shared" si="114"/>
        <v>0.16735208614617328</v>
      </c>
      <c r="AW151">
        <f t="shared" si="115"/>
        <v>-1.254336407936709</v>
      </c>
      <c r="AX151">
        <f t="shared" si="116"/>
        <v>-1.8319208813040913</v>
      </c>
      <c r="AY151">
        <f t="shared" si="117"/>
        <v>-0.80576957744603661</v>
      </c>
      <c r="AZ151">
        <f t="shared" si="118"/>
        <v>-0.73282309477936824</v>
      </c>
      <c r="BA151">
        <f t="shared" si="119"/>
        <v>0.17876127926401417</v>
      </c>
      <c r="BB151">
        <f t="shared" si="120"/>
        <v>-0.72532550266074303</v>
      </c>
      <c r="BC151">
        <f t="shared" si="121"/>
        <v>-1.2694927929059463</v>
      </c>
      <c r="BD151">
        <f t="shared" si="122"/>
        <v>0</v>
      </c>
    </row>
    <row r="152" spans="1:56" x14ac:dyDescent="0.2">
      <c r="A152" t="s">
        <v>235</v>
      </c>
      <c r="B152">
        <v>153991600</v>
      </c>
      <c r="C152">
        <v>133230608</v>
      </c>
      <c r="D152">
        <v>212084736</v>
      </c>
      <c r="E152">
        <v>112002816</v>
      </c>
      <c r="F152">
        <v>138949008</v>
      </c>
      <c r="G152">
        <v>121132064</v>
      </c>
      <c r="H152">
        <v>135180864</v>
      </c>
      <c r="I152">
        <v>147375184</v>
      </c>
      <c r="J152">
        <v>185765936</v>
      </c>
      <c r="K152">
        <v>170335936</v>
      </c>
      <c r="L152">
        <v>169633792</v>
      </c>
      <c r="M152">
        <v>192786928</v>
      </c>
      <c r="N152">
        <v>143062048</v>
      </c>
      <c r="O152">
        <v>156671424</v>
      </c>
      <c r="P152">
        <v>130738616</v>
      </c>
      <c r="Q152">
        <v>145940672</v>
      </c>
      <c r="R152" s="2" t="s">
        <v>236</v>
      </c>
      <c r="S152" s="4" t="s">
        <v>421</v>
      </c>
      <c r="T152">
        <f t="shared" si="87"/>
        <v>8.1874970314004596</v>
      </c>
      <c r="U152">
        <f t="shared" si="88"/>
        <v>8.1246040098076406</v>
      </c>
      <c r="V152">
        <f t="shared" si="89"/>
        <v>8.3265094129318502</v>
      </c>
      <c r="W152">
        <f t="shared" si="90"/>
        <v>8.0492289419370273</v>
      </c>
      <c r="X152">
        <f t="shared" si="91"/>
        <v>8.1428554505616528</v>
      </c>
      <c r="Y152">
        <f t="shared" si="92"/>
        <v>8.0832591173386152</v>
      </c>
      <c r="Z152">
        <f t="shared" si="93"/>
        <v>8.1309152178822437</v>
      </c>
      <c r="AA152">
        <f t="shared" si="94"/>
        <v>8.1684243603262825</v>
      </c>
      <c r="AB152">
        <f t="shared" si="95"/>
        <v>8.2689660801445832</v>
      </c>
      <c r="AC152">
        <f t="shared" si="96"/>
        <v>8.2313062813160442</v>
      </c>
      <c r="AD152">
        <f t="shared" si="97"/>
        <v>8.2295123704283402</v>
      </c>
      <c r="AE152">
        <f t="shared" si="98"/>
        <v>8.285077583042268</v>
      </c>
      <c r="AF152">
        <f t="shared" si="99"/>
        <v>8.1555244378811551</v>
      </c>
      <c r="AG152">
        <f t="shared" si="100"/>
        <v>8.1949897907835858</v>
      </c>
      <c r="AH152">
        <f t="shared" si="101"/>
        <v>8.1164038832094896</v>
      </c>
      <c r="AI152">
        <f t="shared" si="102"/>
        <v>8.1641763416783313</v>
      </c>
      <c r="AJ152" t="str">
        <f t="shared" si="103"/>
        <v>C00049</v>
      </c>
      <c r="AL152">
        <f t="shared" si="104"/>
        <v>8.1787031444168488</v>
      </c>
      <c r="AM152">
        <f t="shared" si="105"/>
        <v>7.4879720961142301E-2</v>
      </c>
      <c r="AN152">
        <f t="shared" si="106"/>
        <v>0.11744016765466163</v>
      </c>
      <c r="AO152">
        <f t="shared" si="107"/>
        <v>-0.72248045151346185</v>
      </c>
      <c r="AP152">
        <f t="shared" si="108"/>
        <v>1.9739158562263244</v>
      </c>
      <c r="AQ152">
        <f t="shared" si="109"/>
        <v>-1.72909568596029</v>
      </c>
      <c r="AR152">
        <f t="shared" si="110"/>
        <v>-0.47873701177116496</v>
      </c>
      <c r="AS152">
        <f t="shared" si="111"/>
        <v>-1.2746311798859769</v>
      </c>
      <c r="AT152">
        <f t="shared" si="112"/>
        <v>-0.63819584156041242</v>
      </c>
      <c r="AU152">
        <f t="shared" si="113"/>
        <v>-0.13727059821577436</v>
      </c>
      <c r="AV152">
        <f t="shared" si="114"/>
        <v>1.2054389969558654</v>
      </c>
      <c r="AW152">
        <f t="shared" si="115"/>
        <v>0.70250177516677836</v>
      </c>
      <c r="AX152">
        <f t="shared" si="116"/>
        <v>0.67854454262534025</v>
      </c>
      <c r="AY152">
        <f t="shared" si="117"/>
        <v>1.4206041002826479</v>
      </c>
      <c r="AZ152">
        <f t="shared" si="118"/>
        <v>-0.30954584549963654</v>
      </c>
      <c r="BA152">
        <f t="shared" si="119"/>
        <v>0.21750410067885742</v>
      </c>
      <c r="BB152">
        <f t="shared" si="120"/>
        <v>-0.83199109729172793</v>
      </c>
      <c r="BC152">
        <f t="shared" si="121"/>
        <v>-0.1940018278921731</v>
      </c>
      <c r="BD152" t="str">
        <f t="shared" si="122"/>
        <v>C00049</v>
      </c>
    </row>
    <row r="153" spans="1:56" x14ac:dyDescent="0.2">
      <c r="A153" t="s">
        <v>237</v>
      </c>
      <c r="B153">
        <v>20096032</v>
      </c>
      <c r="C153">
        <v>10906583</v>
      </c>
      <c r="D153">
        <v>17143014</v>
      </c>
      <c r="E153">
        <v>11201636</v>
      </c>
      <c r="F153">
        <v>13978618</v>
      </c>
      <c r="G153">
        <v>9205632</v>
      </c>
      <c r="H153">
        <v>10357073</v>
      </c>
      <c r="I153">
        <v>13504165</v>
      </c>
      <c r="J153">
        <v>5082842.5</v>
      </c>
      <c r="K153">
        <v>1875530.625</v>
      </c>
      <c r="L153">
        <v>1424775</v>
      </c>
      <c r="M153">
        <v>2974776.5</v>
      </c>
      <c r="N153">
        <v>2814457.5</v>
      </c>
      <c r="O153">
        <v>6302936</v>
      </c>
      <c r="P153">
        <v>3387973.75</v>
      </c>
      <c r="Q153">
        <v>2138984.75</v>
      </c>
      <c r="R153" s="2"/>
      <c r="S153" s="4" t="s">
        <v>421</v>
      </c>
      <c r="T153">
        <f t="shared" si="87"/>
        <v>7.3031103136082747</v>
      </c>
      <c r="U153">
        <f t="shared" si="88"/>
        <v>7.0376887087291014</v>
      </c>
      <c r="V153">
        <f t="shared" si="89"/>
        <v>7.2340871798096975</v>
      </c>
      <c r="W153">
        <f t="shared" si="90"/>
        <v>7.0492814560527846</v>
      </c>
      <c r="X153">
        <f t="shared" si="91"/>
        <v>7.1454642368858972</v>
      </c>
      <c r="Y153">
        <f t="shared" si="92"/>
        <v>6.9640536097537247</v>
      </c>
      <c r="Z153">
        <f t="shared" si="93"/>
        <v>7.0152370373054564</v>
      </c>
      <c r="AA153">
        <f t="shared" si="94"/>
        <v>7.1304677357205408</v>
      </c>
      <c r="AB153">
        <f t="shared" si="95"/>
        <v>6.706106652602438</v>
      </c>
      <c r="AC153">
        <f t="shared" si="96"/>
        <v>6.2731241600142917</v>
      </c>
      <c r="AD153">
        <f t="shared" si="97"/>
        <v>6.1537462861173839</v>
      </c>
      <c r="AE153">
        <f t="shared" si="98"/>
        <v>6.4734543420098003</v>
      </c>
      <c r="AF153">
        <f t="shared" si="99"/>
        <v>6.4493946949380083</v>
      </c>
      <c r="AG153">
        <f t="shared" si="100"/>
        <v>6.799542897322671</v>
      </c>
      <c r="AH153">
        <f t="shared" si="101"/>
        <v>6.5299400367607019</v>
      </c>
      <c r="AI153">
        <f t="shared" si="102"/>
        <v>6.3302076882580831</v>
      </c>
      <c r="AJ153">
        <f t="shared" si="103"/>
        <v>0</v>
      </c>
      <c r="AL153">
        <f t="shared" si="104"/>
        <v>6.7871816897430541</v>
      </c>
      <c r="AM153">
        <f t="shared" si="105"/>
        <v>0.37297063787926837</v>
      </c>
      <c r="AN153">
        <f t="shared" si="106"/>
        <v>1.3832955505527704</v>
      </c>
      <c r="AO153">
        <f t="shared" si="107"/>
        <v>0.67165345886326056</v>
      </c>
      <c r="AP153">
        <f t="shared" si="108"/>
        <v>1.1982323665148888</v>
      </c>
      <c r="AQ153">
        <f t="shared" si="109"/>
        <v>0.70273565715533037</v>
      </c>
      <c r="AR153">
        <f t="shared" si="110"/>
        <v>0.9606186405987811</v>
      </c>
      <c r="AS153">
        <f t="shared" si="111"/>
        <v>0.47422478352819952</v>
      </c>
      <c r="AT153">
        <f t="shared" si="112"/>
        <v>0.61145657164633016</v>
      </c>
      <c r="AU153">
        <f t="shared" si="113"/>
        <v>0.92041037849368001</v>
      </c>
      <c r="AV153">
        <f t="shared" si="114"/>
        <v>-0.21737646052143214</v>
      </c>
      <c r="AW153">
        <f t="shared" si="115"/>
        <v>-1.3782788174740024</v>
      </c>
      <c r="AX153">
        <f t="shared" si="116"/>
        <v>-1.6983519325473417</v>
      </c>
      <c r="AY153">
        <f t="shared" si="117"/>
        <v>-0.84115830006652759</v>
      </c>
      <c r="AZ153">
        <f t="shared" si="118"/>
        <v>-0.90566645333187967</v>
      </c>
      <c r="BA153">
        <f t="shared" si="119"/>
        <v>3.3142575645909833E-2</v>
      </c>
      <c r="BB153">
        <f t="shared" si="120"/>
        <v>-0.68971019929354893</v>
      </c>
      <c r="BC153">
        <f t="shared" si="121"/>
        <v>-1.2252278197644468</v>
      </c>
      <c r="BD153">
        <f t="shared" si="122"/>
        <v>0</v>
      </c>
    </row>
    <row r="154" spans="1:56" x14ac:dyDescent="0.2">
      <c r="A154" t="s">
        <v>238</v>
      </c>
      <c r="B154">
        <v>470449</v>
      </c>
      <c r="C154">
        <v>243055.32810000001</v>
      </c>
      <c r="D154">
        <v>314696.28120000003</v>
      </c>
      <c r="E154">
        <v>431106.90620000003</v>
      </c>
      <c r="F154">
        <v>978616</v>
      </c>
      <c r="G154">
        <v>524834</v>
      </c>
      <c r="H154">
        <v>659995.3125</v>
      </c>
      <c r="I154">
        <v>675323.75</v>
      </c>
      <c r="J154">
        <v>1287005.625</v>
      </c>
      <c r="K154">
        <v>1107845.625</v>
      </c>
      <c r="L154">
        <v>855746.5625</v>
      </c>
      <c r="M154">
        <v>1405074</v>
      </c>
      <c r="N154">
        <v>536099</v>
      </c>
      <c r="O154">
        <v>1079503.75</v>
      </c>
      <c r="P154">
        <v>690260.25</v>
      </c>
      <c r="Q154">
        <v>622782.6875</v>
      </c>
      <c r="R154" s="2" t="s">
        <v>398</v>
      </c>
      <c r="S154" s="4" t="s">
        <v>421</v>
      </c>
      <c r="T154">
        <f t="shared" si="87"/>
        <v>5.6725125497205786</v>
      </c>
      <c r="U154">
        <f t="shared" si="88"/>
        <v>5.3857051458346143</v>
      </c>
      <c r="V154">
        <f t="shared" si="89"/>
        <v>5.4978916108386668</v>
      </c>
      <c r="W154">
        <f t="shared" si="90"/>
        <v>5.6345849801735977</v>
      </c>
      <c r="X154">
        <f t="shared" si="91"/>
        <v>5.9906123120318346</v>
      </c>
      <c r="Y154">
        <f t="shared" si="92"/>
        <v>5.7200219619127362</v>
      </c>
      <c r="Z154">
        <f t="shared" si="93"/>
        <v>5.8195408510530608</v>
      </c>
      <c r="AA154">
        <f t="shared" si="94"/>
        <v>5.8295120233949511</v>
      </c>
      <c r="AB154">
        <f t="shared" si="95"/>
        <v>6.1095804450404572</v>
      </c>
      <c r="AC154">
        <f t="shared" si="96"/>
        <v>6.0444792469613349</v>
      </c>
      <c r="AD154">
        <f t="shared" si="97"/>
        <v>5.9323451632697104</v>
      </c>
      <c r="AE154">
        <f t="shared" si="98"/>
        <v>6.147699197511816</v>
      </c>
      <c r="AF154">
        <f t="shared" si="99"/>
        <v>5.7292449971247903</v>
      </c>
      <c r="AG154">
        <f t="shared" si="100"/>
        <v>6.0332241553330368</v>
      </c>
      <c r="AH154">
        <f t="shared" si="101"/>
        <v>5.8390128644027719</v>
      </c>
      <c r="AI154">
        <f t="shared" si="102"/>
        <v>5.7943365312761053</v>
      </c>
      <c r="AJ154" t="str">
        <f t="shared" si="103"/>
        <v>C00144</v>
      </c>
      <c r="AL154">
        <f t="shared" si="104"/>
        <v>5.8237690022425044</v>
      </c>
      <c r="AM154">
        <f t="shared" si="105"/>
        <v>0.21547494279645396</v>
      </c>
      <c r="AN154">
        <f t="shared" si="106"/>
        <v>-0.70196771169262362</v>
      </c>
      <c r="AO154">
        <f t="shared" si="107"/>
        <v>-2.0330153043442376</v>
      </c>
      <c r="AP154">
        <f t="shared" si="108"/>
        <v>-1.5123679216458781</v>
      </c>
      <c r="AQ154">
        <f t="shared" si="109"/>
        <v>-0.87798618073015255</v>
      </c>
      <c r="AR154">
        <f t="shared" si="110"/>
        <v>0.77430492670758921</v>
      </c>
      <c r="AS154">
        <f t="shared" si="111"/>
        <v>-0.48148076515686433</v>
      </c>
      <c r="AT154">
        <f t="shared" si="112"/>
        <v>-1.9622472731957545E-2</v>
      </c>
      <c r="AU154">
        <f t="shared" si="113"/>
        <v>2.6652849180110089E-2</v>
      </c>
      <c r="AV154">
        <f t="shared" si="114"/>
        <v>1.3264254260317472</v>
      </c>
      <c r="AW154">
        <f t="shared" si="115"/>
        <v>1.0242965694963522</v>
      </c>
      <c r="AX154">
        <f t="shared" si="116"/>
        <v>0.50389228379919471</v>
      </c>
      <c r="AY154">
        <f t="shared" si="117"/>
        <v>1.5033311579774209</v>
      </c>
      <c r="AZ154">
        <f t="shared" si="118"/>
        <v>-0.43867748096819381</v>
      </c>
      <c r="BA154">
        <f t="shared" si="119"/>
        <v>0.97206269263703637</v>
      </c>
      <c r="BB154">
        <f t="shared" si="120"/>
        <v>7.074540530064076E-2</v>
      </c>
      <c r="BC154">
        <f t="shared" si="121"/>
        <v>-0.13659347386021667</v>
      </c>
      <c r="BD154" t="str">
        <f t="shared" si="122"/>
        <v>C00144</v>
      </c>
    </row>
    <row r="155" spans="1:56" x14ac:dyDescent="0.2">
      <c r="A155" t="s">
        <v>239</v>
      </c>
      <c r="B155">
        <v>66918976</v>
      </c>
      <c r="C155">
        <v>38013796</v>
      </c>
      <c r="D155">
        <v>35644824</v>
      </c>
      <c r="E155">
        <v>21372210</v>
      </c>
      <c r="F155">
        <v>53743720</v>
      </c>
      <c r="G155">
        <v>22405370</v>
      </c>
      <c r="H155">
        <v>19065318</v>
      </c>
      <c r="I155">
        <v>23559708</v>
      </c>
      <c r="J155">
        <v>4108233.25</v>
      </c>
      <c r="K155">
        <v>2620790.75</v>
      </c>
      <c r="L155">
        <v>3126924.75</v>
      </c>
      <c r="M155">
        <v>3884006</v>
      </c>
      <c r="N155">
        <v>10691249</v>
      </c>
      <c r="O155">
        <v>24039974</v>
      </c>
      <c r="P155">
        <v>14248859</v>
      </c>
      <c r="Q155">
        <v>7822883.5</v>
      </c>
      <c r="R155" s="2" t="s">
        <v>330</v>
      </c>
      <c r="S155" s="4" t="s">
        <v>421</v>
      </c>
      <c r="T155">
        <f t="shared" si="87"/>
        <v>7.8255492867292089</v>
      </c>
      <c r="U155">
        <f t="shared" si="88"/>
        <v>7.5799412397566979</v>
      </c>
      <c r="V155">
        <f t="shared" si="89"/>
        <v>7.5519964746804433</v>
      </c>
      <c r="W155">
        <f t="shared" si="90"/>
        <v>7.3298494328416339</v>
      </c>
      <c r="X155">
        <f t="shared" si="91"/>
        <v>7.7303277238678687</v>
      </c>
      <c r="Y155">
        <f t="shared" si="92"/>
        <v>7.3503521202031568</v>
      </c>
      <c r="Z155">
        <f t="shared" si="93"/>
        <v>7.2802440534855597</v>
      </c>
      <c r="AA155">
        <f t="shared" si="94"/>
        <v>7.372169903484564</v>
      </c>
      <c r="AB155">
        <f t="shared" si="95"/>
        <v>6.6136550932290765</v>
      </c>
      <c r="AC155">
        <f t="shared" si="96"/>
        <v>6.4184323472540701</v>
      </c>
      <c r="AD155">
        <f t="shared" si="97"/>
        <v>6.4951174299947745</v>
      </c>
      <c r="AE155">
        <f t="shared" si="98"/>
        <v>6.5892798921332068</v>
      </c>
      <c r="AF155">
        <f t="shared" si="99"/>
        <v>7.0290284444156894</v>
      </c>
      <c r="AG155">
        <f t="shared" si="100"/>
        <v>7.3809339936275968</v>
      </c>
      <c r="AH155">
        <f t="shared" si="101"/>
        <v>7.153780088916915</v>
      </c>
      <c r="AI155">
        <f t="shared" si="102"/>
        <v>6.8933668626908826</v>
      </c>
      <c r="AJ155" t="str">
        <f t="shared" si="103"/>
        <v>C00043</v>
      </c>
      <c r="AL155">
        <f t="shared" si="104"/>
        <v>7.1621265242069585</v>
      </c>
      <c r="AM155">
        <f t="shared" si="105"/>
        <v>0.44542335383634946</v>
      </c>
      <c r="AN155">
        <f t="shared" si="106"/>
        <v>1.4894206978783491</v>
      </c>
      <c r="AO155">
        <f t="shared" si="107"/>
        <v>0.93801708408680873</v>
      </c>
      <c r="AP155">
        <f t="shared" si="108"/>
        <v>0.87527954498929306</v>
      </c>
      <c r="AQ155">
        <f t="shared" si="109"/>
        <v>0.37654718188911479</v>
      </c>
      <c r="AR155">
        <f t="shared" si="110"/>
        <v>1.2756430366012419</v>
      </c>
      <c r="AS155">
        <f t="shared" si="111"/>
        <v>0.4225768459939197</v>
      </c>
      <c r="AT155">
        <f t="shared" si="112"/>
        <v>0.26518036888114788</v>
      </c>
      <c r="AU155">
        <f t="shared" si="113"/>
        <v>0.47155897298276012</v>
      </c>
      <c r="AV155">
        <f t="shared" si="114"/>
        <v>-1.2313486175657347</v>
      </c>
      <c r="AW155">
        <f t="shared" si="115"/>
        <v>-1.669634451241919</v>
      </c>
      <c r="AX155">
        <f t="shared" si="116"/>
        <v>-1.4974722103530436</v>
      </c>
      <c r="AY155">
        <f t="shared" si="117"/>
        <v>-1.2860722886214409</v>
      </c>
      <c r="AZ155">
        <f t="shared" si="118"/>
        <v>-0.29881253114575113</v>
      </c>
      <c r="BA155">
        <f t="shared" si="119"/>
        <v>0.49123483880243329</v>
      </c>
      <c r="BB155">
        <f t="shared" si="120"/>
        <v>-1.8738207635852988E-2</v>
      </c>
      <c r="BC155">
        <f t="shared" si="121"/>
        <v>-0.60338026554130653</v>
      </c>
      <c r="BD155" t="str">
        <f t="shared" si="122"/>
        <v>C00043</v>
      </c>
    </row>
    <row r="156" spans="1:56" x14ac:dyDescent="0.2">
      <c r="A156" t="s">
        <v>240</v>
      </c>
      <c r="B156">
        <v>66918976</v>
      </c>
      <c r="C156">
        <v>38013796</v>
      </c>
      <c r="D156">
        <v>35644824</v>
      </c>
      <c r="E156">
        <v>21372210</v>
      </c>
      <c r="F156">
        <v>53743720</v>
      </c>
      <c r="G156">
        <v>22405370</v>
      </c>
      <c r="H156">
        <v>19065318</v>
      </c>
      <c r="I156">
        <v>23559708</v>
      </c>
      <c r="J156">
        <v>4108233.25</v>
      </c>
      <c r="K156">
        <v>2620790.75</v>
      </c>
      <c r="L156">
        <v>3126924.75</v>
      </c>
      <c r="M156">
        <v>3884006</v>
      </c>
      <c r="N156">
        <v>10691249</v>
      </c>
      <c r="O156">
        <v>24039974</v>
      </c>
      <c r="P156">
        <v>14248859</v>
      </c>
      <c r="Q156">
        <v>7822883.5</v>
      </c>
      <c r="R156" s="2" t="s">
        <v>332</v>
      </c>
      <c r="S156" s="4" t="s">
        <v>421</v>
      </c>
      <c r="T156">
        <f t="shared" si="87"/>
        <v>7.8255492867292089</v>
      </c>
      <c r="U156">
        <f t="shared" si="88"/>
        <v>7.5799412397566979</v>
      </c>
      <c r="V156">
        <f t="shared" si="89"/>
        <v>7.5519964746804433</v>
      </c>
      <c r="W156">
        <f t="shared" si="90"/>
        <v>7.3298494328416339</v>
      </c>
      <c r="X156">
        <f t="shared" si="91"/>
        <v>7.7303277238678687</v>
      </c>
      <c r="Y156">
        <f t="shared" si="92"/>
        <v>7.3503521202031568</v>
      </c>
      <c r="Z156">
        <f t="shared" si="93"/>
        <v>7.2802440534855597</v>
      </c>
      <c r="AA156">
        <f t="shared" si="94"/>
        <v>7.372169903484564</v>
      </c>
      <c r="AB156">
        <f t="shared" si="95"/>
        <v>6.6136550932290765</v>
      </c>
      <c r="AC156">
        <f t="shared" si="96"/>
        <v>6.4184323472540701</v>
      </c>
      <c r="AD156">
        <f t="shared" si="97"/>
        <v>6.4951174299947745</v>
      </c>
      <c r="AE156">
        <f t="shared" si="98"/>
        <v>6.5892798921332068</v>
      </c>
      <c r="AF156">
        <f t="shared" si="99"/>
        <v>7.0290284444156894</v>
      </c>
      <c r="AG156">
        <f t="shared" si="100"/>
        <v>7.3809339936275968</v>
      </c>
      <c r="AH156">
        <f t="shared" si="101"/>
        <v>7.153780088916915</v>
      </c>
      <c r="AI156">
        <f t="shared" si="102"/>
        <v>6.8933668626908826</v>
      </c>
      <c r="AJ156" t="str">
        <f t="shared" si="103"/>
        <v>C00203</v>
      </c>
      <c r="AL156">
        <f t="shared" si="104"/>
        <v>7.1621265242069585</v>
      </c>
      <c r="AM156">
        <f t="shared" si="105"/>
        <v>0.44542335383634946</v>
      </c>
      <c r="AN156">
        <f t="shared" si="106"/>
        <v>1.4894206978783491</v>
      </c>
      <c r="AO156">
        <f t="shared" si="107"/>
        <v>0.93801708408680873</v>
      </c>
      <c r="AP156">
        <f t="shared" si="108"/>
        <v>0.87527954498929306</v>
      </c>
      <c r="AQ156">
        <f t="shared" si="109"/>
        <v>0.37654718188911479</v>
      </c>
      <c r="AR156">
        <f t="shared" si="110"/>
        <v>1.2756430366012419</v>
      </c>
      <c r="AS156">
        <f t="shared" si="111"/>
        <v>0.4225768459939197</v>
      </c>
      <c r="AT156">
        <f t="shared" si="112"/>
        <v>0.26518036888114788</v>
      </c>
      <c r="AU156">
        <f t="shared" si="113"/>
        <v>0.47155897298276012</v>
      </c>
      <c r="AV156">
        <f t="shared" si="114"/>
        <v>-1.2313486175657347</v>
      </c>
      <c r="AW156">
        <f t="shared" si="115"/>
        <v>-1.669634451241919</v>
      </c>
      <c r="AX156">
        <f t="shared" si="116"/>
        <v>-1.4974722103530436</v>
      </c>
      <c r="AY156">
        <f t="shared" si="117"/>
        <v>-1.2860722886214409</v>
      </c>
      <c r="AZ156">
        <f t="shared" si="118"/>
        <v>-0.29881253114575113</v>
      </c>
      <c r="BA156">
        <f t="shared" si="119"/>
        <v>0.49123483880243329</v>
      </c>
      <c r="BB156">
        <f t="shared" si="120"/>
        <v>-1.8738207635852988E-2</v>
      </c>
      <c r="BC156">
        <f t="shared" si="121"/>
        <v>-0.60338026554130653</v>
      </c>
      <c r="BD156" t="str">
        <f t="shared" si="122"/>
        <v>C00203</v>
      </c>
    </row>
    <row r="157" spans="1:56" x14ac:dyDescent="0.2">
      <c r="A157" t="s">
        <v>241</v>
      </c>
      <c r="B157">
        <v>50736136</v>
      </c>
      <c r="C157">
        <v>36047700</v>
      </c>
      <c r="D157">
        <v>66657788</v>
      </c>
      <c r="E157">
        <v>38454760</v>
      </c>
      <c r="F157">
        <v>45156492</v>
      </c>
      <c r="G157">
        <v>27092452</v>
      </c>
      <c r="H157">
        <v>41207416</v>
      </c>
      <c r="I157">
        <v>43559440</v>
      </c>
      <c r="J157">
        <v>23519038</v>
      </c>
      <c r="K157">
        <v>16199189</v>
      </c>
      <c r="L157">
        <v>16769053</v>
      </c>
      <c r="M157">
        <v>25412922</v>
      </c>
      <c r="N157">
        <v>39284892</v>
      </c>
      <c r="O157">
        <v>43541252</v>
      </c>
      <c r="P157">
        <v>42942888</v>
      </c>
      <c r="Q157">
        <v>40199064</v>
      </c>
      <c r="R157" s="2" t="s">
        <v>242</v>
      </c>
      <c r="S157" s="4" t="s">
        <v>421</v>
      </c>
      <c r="T157">
        <f t="shared" si="87"/>
        <v>7.7053173888262325</v>
      </c>
      <c r="U157">
        <f t="shared" si="88"/>
        <v>7.5568775600631026</v>
      </c>
      <c r="V157">
        <f t="shared" si="89"/>
        <v>7.8238508977533554</v>
      </c>
      <c r="W157">
        <f t="shared" si="90"/>
        <v>7.5849501052241886</v>
      </c>
      <c r="X157">
        <f t="shared" si="91"/>
        <v>7.6547201962241873</v>
      </c>
      <c r="Y157">
        <f t="shared" si="92"/>
        <v>7.4328483125960805</v>
      </c>
      <c r="Z157">
        <f t="shared" si="93"/>
        <v>7.6149753820051505</v>
      </c>
      <c r="AA157">
        <f t="shared" si="94"/>
        <v>7.6390822878313687</v>
      </c>
      <c r="AB157">
        <f t="shared" si="95"/>
        <v>7.3714195538056337</v>
      </c>
      <c r="AC157">
        <f t="shared" si="96"/>
        <v>7.2094932724660072</v>
      </c>
      <c r="AD157">
        <f t="shared" si="97"/>
        <v>7.2245085373534215</v>
      </c>
      <c r="AE157">
        <f t="shared" si="98"/>
        <v>7.4050546034808091</v>
      </c>
      <c r="AF157">
        <f t="shared" si="99"/>
        <v>7.594225563542552</v>
      </c>
      <c r="AG157">
        <f t="shared" si="100"/>
        <v>7.6389009127361707</v>
      </c>
      <c r="AH157">
        <f t="shared" si="101"/>
        <v>7.6328912483044116</v>
      </c>
      <c r="AI157">
        <f t="shared" si="102"/>
        <v>7.6042159410355268</v>
      </c>
      <c r="AJ157" t="str">
        <f t="shared" si="103"/>
        <v>C00122</v>
      </c>
      <c r="AL157">
        <f t="shared" si="104"/>
        <v>7.5433332352030131</v>
      </c>
      <c r="AM157">
        <f t="shared" si="105"/>
        <v>0.16950576062883638</v>
      </c>
      <c r="AN157">
        <f t="shared" si="106"/>
        <v>0.95562624551688891</v>
      </c>
      <c r="AO157">
        <f t="shared" si="107"/>
        <v>7.9904805652872488E-2</v>
      </c>
      <c r="AP157">
        <f t="shared" si="108"/>
        <v>1.654915216507518</v>
      </c>
      <c r="AQ157">
        <f t="shared" si="109"/>
        <v>0.24551891255367486</v>
      </c>
      <c r="AR157">
        <f t="shared" si="110"/>
        <v>0.65712787935907468</v>
      </c>
      <c r="AS157">
        <f t="shared" si="111"/>
        <v>-0.65180629966234271</v>
      </c>
      <c r="AT157">
        <f t="shared" si="112"/>
        <v>0.42265316846081002</v>
      </c>
      <c r="AU157">
        <f t="shared" si="113"/>
        <v>0.56487196820416896</v>
      </c>
      <c r="AV157">
        <f t="shared" si="114"/>
        <v>-1.0142055394436746</v>
      </c>
      <c r="AW157">
        <f t="shared" si="115"/>
        <v>-1.9694903671622646</v>
      </c>
      <c r="AX157">
        <f t="shared" si="116"/>
        <v>-1.8809077441781827</v>
      </c>
      <c r="AY157">
        <f t="shared" si="117"/>
        <v>-0.8157754120521612</v>
      </c>
      <c r="AZ157">
        <f t="shared" si="118"/>
        <v>0.30023952077343741</v>
      </c>
      <c r="BA157">
        <f t="shared" si="119"/>
        <v>0.56380194501129854</v>
      </c>
      <c r="BB157">
        <f t="shared" si="120"/>
        <v>0.52834790256775965</v>
      </c>
      <c r="BC157">
        <f t="shared" si="121"/>
        <v>0.35917779789105447</v>
      </c>
      <c r="BD157" t="str">
        <f t="shared" si="122"/>
        <v>C00122</v>
      </c>
    </row>
    <row r="158" spans="1:56" x14ac:dyDescent="0.2">
      <c r="A158" t="s">
        <v>243</v>
      </c>
      <c r="B158">
        <v>52311484</v>
      </c>
      <c r="C158">
        <v>24694060</v>
      </c>
      <c r="D158">
        <v>45238288</v>
      </c>
      <c r="E158">
        <v>32334442</v>
      </c>
      <c r="F158">
        <v>51715116</v>
      </c>
      <c r="G158">
        <v>33790844</v>
      </c>
      <c r="H158">
        <v>34543584</v>
      </c>
      <c r="I158">
        <v>40728904</v>
      </c>
      <c r="J158">
        <v>13316415</v>
      </c>
      <c r="K158">
        <v>5315740</v>
      </c>
      <c r="L158">
        <v>5077431</v>
      </c>
      <c r="M158">
        <v>9527929</v>
      </c>
      <c r="N158">
        <v>12166420</v>
      </c>
      <c r="O158">
        <v>20144274</v>
      </c>
      <c r="P158">
        <v>12020498</v>
      </c>
      <c r="Q158">
        <v>8469816</v>
      </c>
      <c r="R158" s="2"/>
      <c r="S158" s="4" t="s">
        <v>421</v>
      </c>
      <c r="T158">
        <f t="shared" si="87"/>
        <v>7.7185970404990361</v>
      </c>
      <c r="U158">
        <f t="shared" si="88"/>
        <v>7.3925924990303535</v>
      </c>
      <c r="V158">
        <f t="shared" si="89"/>
        <v>7.6555061611026307</v>
      </c>
      <c r="W158">
        <f t="shared" si="90"/>
        <v>7.509665370667026</v>
      </c>
      <c r="X158">
        <f t="shared" si="91"/>
        <v>7.7136175031688161</v>
      </c>
      <c r="Y158">
        <f t="shared" si="92"/>
        <v>7.528799039361906</v>
      </c>
      <c r="Z158">
        <f t="shared" si="93"/>
        <v>7.538367394918585</v>
      </c>
      <c r="AA158">
        <f t="shared" si="94"/>
        <v>7.6099027235366137</v>
      </c>
      <c r="AB158">
        <f t="shared" si="95"/>
        <v>7.1243873212849849</v>
      </c>
      <c r="AC158">
        <f t="shared" si="96"/>
        <v>6.725563730862361</v>
      </c>
      <c r="AD158">
        <f t="shared" si="97"/>
        <v>6.7056440302505784</v>
      </c>
      <c r="AE158">
        <f t="shared" si="98"/>
        <v>6.9789985122212466</v>
      </c>
      <c r="AF158">
        <f t="shared" si="99"/>
        <v>7.0851628047731285</v>
      </c>
      <c r="AG158">
        <f t="shared" si="100"/>
        <v>7.3041516200254408</v>
      </c>
      <c r="AH158">
        <f t="shared" si="101"/>
        <v>7.0799224605262712</v>
      </c>
      <c r="AI158">
        <f t="shared" si="102"/>
        <v>6.92787397573181</v>
      </c>
      <c r="AJ158">
        <f t="shared" si="103"/>
        <v>0</v>
      </c>
      <c r="AL158">
        <f t="shared" si="104"/>
        <v>7.2874220117475508</v>
      </c>
      <c r="AM158">
        <f t="shared" si="105"/>
        <v>0.34429627581005429</v>
      </c>
      <c r="AN158">
        <f t="shared" si="106"/>
        <v>1.2523371847024025</v>
      </c>
      <c r="AO158">
        <f t="shared" si="107"/>
        <v>0.30546507375184195</v>
      </c>
      <c r="AP158">
        <f t="shared" si="108"/>
        <v>1.0690912891493176</v>
      </c>
      <c r="AQ158">
        <f t="shared" si="109"/>
        <v>0.64550032786902767</v>
      </c>
      <c r="AR158">
        <f t="shared" si="110"/>
        <v>1.2378742419403754</v>
      </c>
      <c r="AS158">
        <f t="shared" si="111"/>
        <v>0.70107359438160499</v>
      </c>
      <c r="AT158">
        <f t="shared" si="112"/>
        <v>0.7288646459524265</v>
      </c>
      <c r="AU158">
        <f t="shared" si="113"/>
        <v>0.93663723498122631</v>
      </c>
      <c r="AV158">
        <f t="shared" si="114"/>
        <v>-0.47353021777241339</v>
      </c>
      <c r="AW158">
        <f t="shared" si="115"/>
        <v>-1.6319034516515154</v>
      </c>
      <c r="AX158">
        <f t="shared" si="116"/>
        <v>-1.6897597283856041</v>
      </c>
      <c r="AY158">
        <f t="shared" si="117"/>
        <v>-0.89580841036009107</v>
      </c>
      <c r="AZ158">
        <f t="shared" si="118"/>
        <v>-0.58745685383482671</v>
      </c>
      <c r="BA158">
        <f t="shared" si="119"/>
        <v>4.8590732614022386E-2</v>
      </c>
      <c r="BB158">
        <f t="shared" si="120"/>
        <v>-0.60267730382234974</v>
      </c>
      <c r="BC158">
        <f t="shared" si="121"/>
        <v>-1.0442983595155144</v>
      </c>
      <c r="BD158">
        <f t="shared" si="122"/>
        <v>0</v>
      </c>
    </row>
    <row r="159" spans="1:56" x14ac:dyDescent="0.2">
      <c r="A159" t="s">
        <v>244</v>
      </c>
      <c r="B159">
        <v>9248311</v>
      </c>
      <c r="C159">
        <v>6907201.5</v>
      </c>
      <c r="D159">
        <v>10320360</v>
      </c>
      <c r="E159">
        <v>5271534</v>
      </c>
      <c r="F159">
        <v>6857921</v>
      </c>
      <c r="G159">
        <v>5059510</v>
      </c>
      <c r="H159">
        <v>4460259.5</v>
      </c>
      <c r="I159">
        <v>4955893.5</v>
      </c>
      <c r="J159">
        <v>1724845</v>
      </c>
      <c r="K159">
        <v>1315594.625</v>
      </c>
      <c r="L159">
        <v>1166950</v>
      </c>
      <c r="M159">
        <v>1788839.875</v>
      </c>
      <c r="N159">
        <v>4186318.25</v>
      </c>
      <c r="O159">
        <v>6172644</v>
      </c>
      <c r="P159">
        <v>3939423.25</v>
      </c>
      <c r="Q159">
        <v>3432293</v>
      </c>
      <c r="R159" s="2" t="s">
        <v>321</v>
      </c>
      <c r="S159" s="4" t="s">
        <v>421</v>
      </c>
      <c r="T159">
        <f t="shared" si="87"/>
        <v>6.9660624256734334</v>
      </c>
      <c r="U159">
        <f t="shared" si="88"/>
        <v>6.8393021256256121</v>
      </c>
      <c r="V159">
        <f t="shared" si="89"/>
        <v>7.0136948468344658</v>
      </c>
      <c r="W159">
        <f t="shared" si="90"/>
        <v>6.7219370119475839</v>
      </c>
      <c r="X159">
        <f t="shared" si="91"/>
        <v>6.8361924779411183</v>
      </c>
      <c r="Y159">
        <f t="shared" si="92"/>
        <v>6.7041084586183439</v>
      </c>
      <c r="Z159">
        <f t="shared" si="93"/>
        <v>6.6493601269048632</v>
      </c>
      <c r="AA159">
        <f t="shared" si="94"/>
        <v>6.6951219650044109</v>
      </c>
      <c r="AB159">
        <f t="shared" si="95"/>
        <v>6.2367500740938135</v>
      </c>
      <c r="AC159">
        <f t="shared" si="96"/>
        <v>6.1191220904585277</v>
      </c>
      <c r="AD159">
        <f t="shared" si="97"/>
        <v>6.0670522483424643</v>
      </c>
      <c r="AE159">
        <f t="shared" si="98"/>
        <v>6.2525714671653256</v>
      </c>
      <c r="AF159">
        <f t="shared" si="99"/>
        <v>6.6218322409556318</v>
      </c>
      <c r="AG159">
        <f t="shared" si="100"/>
        <v>6.7904712302647097</v>
      </c>
      <c r="AH159">
        <f t="shared" si="101"/>
        <v>6.5954326437349096</v>
      </c>
      <c r="AI159">
        <f t="shared" si="102"/>
        <v>6.5355843545996644</v>
      </c>
      <c r="AJ159" t="str">
        <f t="shared" si="103"/>
        <v>C00052</v>
      </c>
      <c r="AL159">
        <f t="shared" si="104"/>
        <v>6.6027872367603049</v>
      </c>
      <c r="AM159">
        <f t="shared" si="105"/>
        <v>0.29030158726453603</v>
      </c>
      <c r="AN159">
        <f t="shared" si="106"/>
        <v>1.2513716936108088</v>
      </c>
      <c r="AO159">
        <f t="shared" si="107"/>
        <v>0.81472130791274011</v>
      </c>
      <c r="AP159">
        <f t="shared" si="108"/>
        <v>1.4154507867010839</v>
      </c>
      <c r="AQ159">
        <f t="shared" si="109"/>
        <v>0.41043445993529576</v>
      </c>
      <c r="AR159">
        <f t="shared" si="110"/>
        <v>0.80400952464694553</v>
      </c>
      <c r="AS159">
        <f t="shared" si="111"/>
        <v>0.34902055759588574</v>
      </c>
      <c r="AT159">
        <f t="shared" si="112"/>
        <v>0.16042933345079854</v>
      </c>
      <c r="AU159">
        <f t="shared" si="113"/>
        <v>0.31806484116797623</v>
      </c>
      <c r="AV159">
        <f t="shared" si="114"/>
        <v>-1.2608858467347668</v>
      </c>
      <c r="AW159">
        <f t="shared" si="115"/>
        <v>-1.666078201153752</v>
      </c>
      <c r="AX159">
        <f t="shared" si="116"/>
        <v>-1.8454428495068975</v>
      </c>
      <c r="AY159">
        <f t="shared" si="117"/>
        <v>-1.2063859963529813</v>
      </c>
      <c r="AZ159">
        <f t="shared" si="118"/>
        <v>6.5604202769901768E-2</v>
      </c>
      <c r="BA159">
        <f t="shared" si="119"/>
        <v>0.64651383849781907</v>
      </c>
      <c r="BB159">
        <f t="shared" si="120"/>
        <v>-2.5334319025591402E-2</v>
      </c>
      <c r="BC159">
        <f t="shared" si="121"/>
        <v>-0.23149333351526663</v>
      </c>
      <c r="BD159" t="str">
        <f t="shared" si="122"/>
        <v>C00052</v>
      </c>
    </row>
    <row r="160" spans="1:56" x14ac:dyDescent="0.2">
      <c r="A160" t="s">
        <v>245</v>
      </c>
      <c r="B160">
        <v>52311484</v>
      </c>
      <c r="C160">
        <v>24694060</v>
      </c>
      <c r="D160">
        <v>45238288</v>
      </c>
      <c r="E160">
        <v>32334442</v>
      </c>
      <c r="F160">
        <v>51715116</v>
      </c>
      <c r="G160">
        <v>33790844</v>
      </c>
      <c r="H160">
        <v>34543584</v>
      </c>
      <c r="I160">
        <v>40728904</v>
      </c>
      <c r="J160">
        <v>13316415</v>
      </c>
      <c r="K160">
        <v>5315740</v>
      </c>
      <c r="L160">
        <v>5077431</v>
      </c>
      <c r="M160">
        <v>9527929</v>
      </c>
      <c r="N160">
        <v>12166420</v>
      </c>
      <c r="O160">
        <v>20144274</v>
      </c>
      <c r="P160">
        <v>12020498</v>
      </c>
      <c r="Q160">
        <v>8469816</v>
      </c>
      <c r="R160" s="2"/>
      <c r="S160" s="4" t="s">
        <v>421</v>
      </c>
      <c r="T160">
        <f t="shared" si="87"/>
        <v>7.7185970404990361</v>
      </c>
      <c r="U160">
        <f t="shared" si="88"/>
        <v>7.3925924990303535</v>
      </c>
      <c r="V160">
        <f t="shared" si="89"/>
        <v>7.6555061611026307</v>
      </c>
      <c r="W160">
        <f t="shared" si="90"/>
        <v>7.509665370667026</v>
      </c>
      <c r="X160">
        <f t="shared" si="91"/>
        <v>7.7136175031688161</v>
      </c>
      <c r="Y160">
        <f t="shared" si="92"/>
        <v>7.528799039361906</v>
      </c>
      <c r="Z160">
        <f t="shared" si="93"/>
        <v>7.538367394918585</v>
      </c>
      <c r="AA160">
        <f t="shared" si="94"/>
        <v>7.6099027235366137</v>
      </c>
      <c r="AB160">
        <f t="shared" si="95"/>
        <v>7.1243873212849849</v>
      </c>
      <c r="AC160">
        <f t="shared" si="96"/>
        <v>6.725563730862361</v>
      </c>
      <c r="AD160">
        <f t="shared" si="97"/>
        <v>6.7056440302505784</v>
      </c>
      <c r="AE160">
        <f t="shared" si="98"/>
        <v>6.9789985122212466</v>
      </c>
      <c r="AF160">
        <f t="shared" si="99"/>
        <v>7.0851628047731285</v>
      </c>
      <c r="AG160">
        <f t="shared" si="100"/>
        <v>7.3041516200254408</v>
      </c>
      <c r="AH160">
        <f t="shared" si="101"/>
        <v>7.0799224605262712</v>
      </c>
      <c r="AI160">
        <f t="shared" si="102"/>
        <v>6.92787397573181</v>
      </c>
      <c r="AJ160">
        <f t="shared" si="103"/>
        <v>0</v>
      </c>
      <c r="AL160">
        <f t="shared" si="104"/>
        <v>7.2874220117475508</v>
      </c>
      <c r="AM160">
        <f t="shared" si="105"/>
        <v>0.34429627581005429</v>
      </c>
      <c r="AN160">
        <f t="shared" si="106"/>
        <v>1.2523371847024025</v>
      </c>
      <c r="AO160">
        <f t="shared" si="107"/>
        <v>0.30546507375184195</v>
      </c>
      <c r="AP160">
        <f t="shared" si="108"/>
        <v>1.0690912891493176</v>
      </c>
      <c r="AQ160">
        <f t="shared" si="109"/>
        <v>0.64550032786902767</v>
      </c>
      <c r="AR160">
        <f t="shared" si="110"/>
        <v>1.2378742419403754</v>
      </c>
      <c r="AS160">
        <f t="shared" si="111"/>
        <v>0.70107359438160499</v>
      </c>
      <c r="AT160">
        <f t="shared" si="112"/>
        <v>0.7288646459524265</v>
      </c>
      <c r="AU160">
        <f t="shared" si="113"/>
        <v>0.93663723498122631</v>
      </c>
      <c r="AV160">
        <f t="shared" si="114"/>
        <v>-0.47353021777241339</v>
      </c>
      <c r="AW160">
        <f t="shared" si="115"/>
        <v>-1.6319034516515154</v>
      </c>
      <c r="AX160">
        <f t="shared" si="116"/>
        <v>-1.6897597283856041</v>
      </c>
      <c r="AY160">
        <f t="shared" si="117"/>
        <v>-0.89580841036009107</v>
      </c>
      <c r="AZ160">
        <f t="shared" si="118"/>
        <v>-0.58745685383482671</v>
      </c>
      <c r="BA160">
        <f t="shared" si="119"/>
        <v>4.8590732614022386E-2</v>
      </c>
      <c r="BB160">
        <f t="shared" si="120"/>
        <v>-0.60267730382234974</v>
      </c>
      <c r="BC160">
        <f t="shared" si="121"/>
        <v>-1.0442983595155144</v>
      </c>
      <c r="BD160">
        <f t="shared" si="122"/>
        <v>0</v>
      </c>
    </row>
    <row r="161" spans="1:56" x14ac:dyDescent="0.2">
      <c r="A161" t="s">
        <v>246</v>
      </c>
      <c r="B161">
        <v>9729280</v>
      </c>
      <c r="C161">
        <v>6033480.5</v>
      </c>
      <c r="D161">
        <v>3620944.75</v>
      </c>
      <c r="E161">
        <v>6089902.5</v>
      </c>
      <c r="F161">
        <v>5059837</v>
      </c>
      <c r="G161">
        <v>4553353.5</v>
      </c>
      <c r="H161">
        <v>2370199.25</v>
      </c>
      <c r="I161">
        <v>3004501</v>
      </c>
      <c r="J161">
        <v>3333111.5</v>
      </c>
      <c r="K161">
        <v>2297741.5</v>
      </c>
      <c r="L161">
        <v>2686122.5</v>
      </c>
      <c r="M161">
        <v>3086572.5</v>
      </c>
      <c r="N161">
        <v>2028696.625</v>
      </c>
      <c r="O161">
        <v>2565561.25</v>
      </c>
      <c r="P161">
        <v>1786150.125</v>
      </c>
      <c r="Q161">
        <v>2058018.125</v>
      </c>
      <c r="R161" s="2" t="s">
        <v>247</v>
      </c>
      <c r="S161" s="4" t="s">
        <v>421</v>
      </c>
      <c r="T161">
        <f t="shared" si="87"/>
        <v>6.9880807021802918</v>
      </c>
      <c r="U161">
        <f t="shared" si="88"/>
        <v>6.7805679134465002</v>
      </c>
      <c r="V161">
        <f t="shared" si="89"/>
        <v>6.5588218982074604</v>
      </c>
      <c r="W161">
        <f t="shared" si="90"/>
        <v>6.7846103395867425</v>
      </c>
      <c r="X161">
        <f t="shared" si="91"/>
        <v>6.7041365264957733</v>
      </c>
      <c r="Y161">
        <f t="shared" si="92"/>
        <v>6.658331368107401</v>
      </c>
      <c r="Z161">
        <f t="shared" si="93"/>
        <v>6.3747848563637861</v>
      </c>
      <c r="AA161">
        <f t="shared" si="94"/>
        <v>6.4777723528972384</v>
      </c>
      <c r="AB161">
        <f t="shared" si="95"/>
        <v>6.5228498420208005</v>
      </c>
      <c r="AC161">
        <f t="shared" si="96"/>
        <v>6.3613011681998088</v>
      </c>
      <c r="AD161">
        <f t="shared" si="97"/>
        <v>6.4291258146844852</v>
      </c>
      <c r="AE161">
        <f t="shared" si="98"/>
        <v>6.4894764824954647</v>
      </c>
      <c r="AF161">
        <f t="shared" si="99"/>
        <v>6.3072171066985359</v>
      </c>
      <c r="AG161">
        <f t="shared" si="100"/>
        <v>6.4091823874262053</v>
      </c>
      <c r="AH161">
        <f t="shared" si="101"/>
        <v>6.2519179583146052</v>
      </c>
      <c r="AI161">
        <f t="shared" si="102"/>
        <v>6.3134491952820131</v>
      </c>
      <c r="AJ161" t="str">
        <f t="shared" si="103"/>
        <v>C00542</v>
      </c>
      <c r="AL161">
        <f t="shared" si="104"/>
        <v>6.5257266195254431</v>
      </c>
      <c r="AM161">
        <f t="shared" si="105"/>
        <v>0.20662046502006853</v>
      </c>
      <c r="AN161">
        <f t="shared" si="106"/>
        <v>2.237697425615325</v>
      </c>
      <c r="AO161">
        <f t="shared" si="107"/>
        <v>1.233378764762266</v>
      </c>
      <c r="AP161">
        <f t="shared" si="108"/>
        <v>0.16017425320770076</v>
      </c>
      <c r="AQ161">
        <f t="shared" si="109"/>
        <v>1.252943265015664</v>
      </c>
      <c r="AR161">
        <f t="shared" si="110"/>
        <v>0.86346677688970308</v>
      </c>
      <c r="AS161">
        <f t="shared" si="111"/>
        <v>0.64177935408807807</v>
      </c>
      <c r="AT161">
        <f t="shared" si="112"/>
        <v>-0.73052668401939935</v>
      </c>
      <c r="AU161">
        <f t="shared" si="113"/>
        <v>-0.23208865890194855</v>
      </c>
      <c r="AV161">
        <f t="shared" si="114"/>
        <v>-1.3923003727453294E-2</v>
      </c>
      <c r="AW161">
        <f t="shared" si="115"/>
        <v>-0.79578492532026779</v>
      </c>
      <c r="AX161">
        <f t="shared" si="116"/>
        <v>-0.46752776803389395</v>
      </c>
      <c r="AY161">
        <f t="shared" si="117"/>
        <v>-0.17544311027689094</v>
      </c>
      <c r="AZ161">
        <f t="shared" si="118"/>
        <v>-1.0575405142258485</v>
      </c>
      <c r="BA161">
        <f t="shared" si="119"/>
        <v>-0.56404980062317722</v>
      </c>
      <c r="BB161">
        <f t="shared" si="120"/>
        <v>-1.3251768704723588</v>
      </c>
      <c r="BC161">
        <f t="shared" si="121"/>
        <v>-1.0273785039773868</v>
      </c>
      <c r="BD161" t="str">
        <f t="shared" si="122"/>
        <v>C00542</v>
      </c>
    </row>
    <row r="162" spans="1:56" x14ac:dyDescent="0.2">
      <c r="A162" t="s">
        <v>248</v>
      </c>
      <c r="B162">
        <v>4929495</v>
      </c>
      <c r="C162">
        <v>2457766.5</v>
      </c>
      <c r="D162">
        <v>5035936.5</v>
      </c>
      <c r="E162">
        <v>3324689.5</v>
      </c>
      <c r="F162">
        <v>4634108</v>
      </c>
      <c r="G162">
        <v>3451900.5</v>
      </c>
      <c r="H162">
        <v>3881192</v>
      </c>
      <c r="I162">
        <v>4582986.5</v>
      </c>
      <c r="J162">
        <v>1227033.625</v>
      </c>
      <c r="K162">
        <v>658591.375</v>
      </c>
      <c r="L162">
        <v>655329.1875</v>
      </c>
      <c r="M162">
        <v>1103951.875</v>
      </c>
      <c r="N162">
        <v>1321951.75</v>
      </c>
      <c r="O162">
        <v>1965958</v>
      </c>
      <c r="P162">
        <v>1224376.875</v>
      </c>
      <c r="Q162">
        <v>1008812.5</v>
      </c>
      <c r="R162" s="2"/>
      <c r="S162" s="4" t="s">
        <v>421</v>
      </c>
      <c r="T162">
        <f t="shared" si="87"/>
        <v>6.6928024304441704</v>
      </c>
      <c r="U162">
        <f t="shared" si="88"/>
        <v>6.3905406203818051</v>
      </c>
      <c r="V162">
        <f t="shared" si="89"/>
        <v>6.7020802452893857</v>
      </c>
      <c r="W162">
        <f t="shared" si="90"/>
        <v>6.521751091824588</v>
      </c>
      <c r="X162">
        <f t="shared" si="91"/>
        <v>6.6659661510028307</v>
      </c>
      <c r="Y162">
        <f t="shared" si="92"/>
        <v>6.5380582688149751</v>
      </c>
      <c r="Z162">
        <f t="shared" si="93"/>
        <v>6.5889651275320791</v>
      </c>
      <c r="AA162">
        <f t="shared" si="94"/>
        <v>6.6611485779552071</v>
      </c>
      <c r="AB162">
        <f t="shared" si="95"/>
        <v>6.0888564640732659</v>
      </c>
      <c r="AC162">
        <f t="shared" si="96"/>
        <v>5.8186160388349935</v>
      </c>
      <c r="AD162">
        <f t="shared" si="97"/>
        <v>5.816459511291864</v>
      </c>
      <c r="AE162">
        <f t="shared" si="98"/>
        <v>6.0429501414389275</v>
      </c>
      <c r="AF162">
        <f t="shared" si="99"/>
        <v>6.1212156040973058</v>
      </c>
      <c r="AG162">
        <f t="shared" si="100"/>
        <v>6.293574235488447</v>
      </c>
      <c r="AH162">
        <f t="shared" si="101"/>
        <v>6.0879151184140783</v>
      </c>
      <c r="AI162">
        <f t="shared" si="102"/>
        <v>6.0038104548570459</v>
      </c>
      <c r="AJ162">
        <f t="shared" si="103"/>
        <v>0</v>
      </c>
      <c r="AL162">
        <f t="shared" si="104"/>
        <v>6.3146693801088096</v>
      </c>
      <c r="AM162">
        <f t="shared" si="105"/>
        <v>0.3178400032247567</v>
      </c>
      <c r="AN162">
        <f t="shared" si="106"/>
        <v>1.1896962197926</v>
      </c>
      <c r="AO162">
        <f t="shared" si="107"/>
        <v>0.23870890858047247</v>
      </c>
      <c r="AP162">
        <f t="shared" si="108"/>
        <v>1.2188864247733575</v>
      </c>
      <c r="AQ162">
        <f t="shared" si="109"/>
        <v>0.65152815760998806</v>
      </c>
      <c r="AR162">
        <f t="shared" si="110"/>
        <v>1.1052629226334543</v>
      </c>
      <c r="AS162">
        <f t="shared" si="111"/>
        <v>0.7028344023398424</v>
      </c>
      <c r="AT162">
        <f t="shared" si="112"/>
        <v>0.86299944827682551</v>
      </c>
      <c r="AU162">
        <f t="shared" si="113"/>
        <v>1.0901056957307822</v>
      </c>
      <c r="AV162">
        <f t="shared" si="114"/>
        <v>-0.71046096697860561</v>
      </c>
      <c r="AW162">
        <f t="shared" si="115"/>
        <v>-1.5607014102722561</v>
      </c>
      <c r="AX162">
        <f t="shared" si="116"/>
        <v>-1.5674863571677053</v>
      </c>
      <c r="AY162">
        <f t="shared" si="117"/>
        <v>-0.85489314092958646</v>
      </c>
      <c r="AZ162">
        <f t="shared" si="118"/>
        <v>-0.60865144112997427</v>
      </c>
      <c r="BA162">
        <f t="shared" si="119"/>
        <v>-6.6370325970093472E-2</v>
      </c>
      <c r="BB162">
        <f t="shared" si="120"/>
        <v>-0.71342266358581941</v>
      </c>
      <c r="BC162">
        <f t="shared" si="121"/>
        <v>-0.9780358737032343</v>
      </c>
      <c r="BD162">
        <f t="shared" si="122"/>
        <v>0</v>
      </c>
    </row>
    <row r="163" spans="1:56" x14ac:dyDescent="0.2">
      <c r="A163" t="s">
        <v>249</v>
      </c>
      <c r="B163">
        <v>17640980</v>
      </c>
      <c r="C163">
        <v>10530028</v>
      </c>
      <c r="D163">
        <v>17574728</v>
      </c>
      <c r="E163">
        <v>10504492</v>
      </c>
      <c r="F163">
        <v>9969570</v>
      </c>
      <c r="G163">
        <v>7775333.5</v>
      </c>
      <c r="H163">
        <v>8021874.5</v>
      </c>
      <c r="I163">
        <v>7128868</v>
      </c>
      <c r="J163">
        <v>2734408.5</v>
      </c>
      <c r="K163">
        <v>1357754.25</v>
      </c>
      <c r="L163">
        <v>1510481.875</v>
      </c>
      <c r="M163">
        <v>1749391.75</v>
      </c>
      <c r="N163">
        <v>2787211.75</v>
      </c>
      <c r="O163">
        <v>3465462.5</v>
      </c>
      <c r="P163">
        <v>2658750.5</v>
      </c>
      <c r="Q163">
        <v>1974348.25</v>
      </c>
      <c r="R163" s="2" t="s">
        <v>250</v>
      </c>
      <c r="S163" s="4" t="s">
        <v>421</v>
      </c>
      <c r="T163">
        <f t="shared" si="87"/>
        <v>7.246522707596835</v>
      </c>
      <c r="U163">
        <f t="shared" si="88"/>
        <v>7.0224295260030862</v>
      </c>
      <c r="V163">
        <f t="shared" si="89"/>
        <v>7.2448886122686353</v>
      </c>
      <c r="W163">
        <f t="shared" si="90"/>
        <v>7.0213750546542624</v>
      </c>
      <c r="X163">
        <f t="shared" si="91"/>
        <v>6.9986764270524313</v>
      </c>
      <c r="Y163">
        <f t="shared" si="92"/>
        <v>6.8907190258793882</v>
      </c>
      <c r="Z163">
        <f t="shared" si="93"/>
        <v>6.904275863282149</v>
      </c>
      <c r="AA163">
        <f t="shared" si="94"/>
        <v>6.8530205732762735</v>
      </c>
      <c r="AB163">
        <f t="shared" si="95"/>
        <v>6.436863395397638</v>
      </c>
      <c r="AC163">
        <f t="shared" si="96"/>
        <v>6.132821170881833</v>
      </c>
      <c r="AD163">
        <f t="shared" si="97"/>
        <v>6.1791155183317672</v>
      </c>
      <c r="AE163">
        <f t="shared" si="98"/>
        <v>6.2428870740940514</v>
      </c>
      <c r="AF163">
        <f t="shared" si="99"/>
        <v>6.4451699641791071</v>
      </c>
      <c r="AG163">
        <f t="shared" si="100"/>
        <v>6.5397612036790909</v>
      </c>
      <c r="AH163">
        <f t="shared" si="101"/>
        <v>6.4246775845834589</v>
      </c>
      <c r="AI163">
        <f t="shared" si="102"/>
        <v>6.2954237591309123</v>
      </c>
      <c r="AJ163" t="str">
        <f t="shared" si="103"/>
        <v>C00386</v>
      </c>
      <c r="AL163">
        <f t="shared" si="104"/>
        <v>6.679914216268183</v>
      </c>
      <c r="AM163">
        <f t="shared" si="105"/>
        <v>0.38196059200746013</v>
      </c>
      <c r="AN163">
        <f t="shared" si="106"/>
        <v>1.4834213350407244</v>
      </c>
      <c r="AO163">
        <f t="shared" si="107"/>
        <v>0.89672944513661623</v>
      </c>
      <c r="AP163">
        <f t="shared" si="108"/>
        <v>1.4791431572328742</v>
      </c>
      <c r="AQ163">
        <f t="shared" si="109"/>
        <v>0.89396876413734905</v>
      </c>
      <c r="AR163">
        <f t="shared" si="110"/>
        <v>0.83454214244704716</v>
      </c>
      <c r="AS163">
        <f t="shared" si="111"/>
        <v>0.55190198680781166</v>
      </c>
      <c r="AT163">
        <f t="shared" si="112"/>
        <v>0.58739475147107312</v>
      </c>
      <c r="AU163">
        <f t="shared" si="113"/>
        <v>0.45320475627681883</v>
      </c>
      <c r="AV163">
        <f t="shared" si="114"/>
        <v>-0.63632433805055477</v>
      </c>
      <c r="AW163">
        <f t="shared" si="115"/>
        <v>-1.4323285093653451</v>
      </c>
      <c r="AX163">
        <f t="shared" si="116"/>
        <v>-1.3111266146708525</v>
      </c>
      <c r="AY163">
        <f t="shared" si="117"/>
        <v>-1.1441681454028012</v>
      </c>
      <c r="AZ163">
        <f t="shared" si="118"/>
        <v>-0.61457715010686509</v>
      </c>
      <c r="BA163">
        <f t="shared" si="119"/>
        <v>-0.36693055650713524</v>
      </c>
      <c r="BB163">
        <f t="shared" si="120"/>
        <v>-0.66822765757923797</v>
      </c>
      <c r="BC163">
        <f t="shared" si="121"/>
        <v>-1.0066233668675462</v>
      </c>
      <c r="BD163" t="str">
        <f t="shared" si="122"/>
        <v>C00386</v>
      </c>
    </row>
    <row r="164" spans="1:56" x14ac:dyDescent="0.2">
      <c r="A164" t="s">
        <v>251</v>
      </c>
      <c r="B164">
        <v>108417968</v>
      </c>
      <c r="C164">
        <v>105915648</v>
      </c>
      <c r="D164">
        <v>104832408</v>
      </c>
      <c r="E164">
        <v>81515072</v>
      </c>
      <c r="F164">
        <v>95208920</v>
      </c>
      <c r="G164">
        <v>71622592</v>
      </c>
      <c r="H164">
        <v>78734376</v>
      </c>
      <c r="I164">
        <v>79968712</v>
      </c>
      <c r="J164">
        <v>50966732</v>
      </c>
      <c r="K164">
        <v>29383582</v>
      </c>
      <c r="L164">
        <v>42909700</v>
      </c>
      <c r="M164">
        <v>44302840</v>
      </c>
      <c r="N164">
        <v>49141976</v>
      </c>
      <c r="O164">
        <v>47675428</v>
      </c>
      <c r="P164">
        <v>49002364</v>
      </c>
      <c r="Q164">
        <v>48250796</v>
      </c>
      <c r="R164" s="2" t="s">
        <v>252</v>
      </c>
      <c r="S164" s="4" t="s">
        <v>421</v>
      </c>
      <c r="T164">
        <f t="shared" si="87"/>
        <v>8.0351012633517236</v>
      </c>
      <c r="U164">
        <f t="shared" si="88"/>
        <v>8.0249601276053006</v>
      </c>
      <c r="V164">
        <f t="shared" si="89"/>
        <v>8.0204955616536679</v>
      </c>
      <c r="W164">
        <f t="shared" si="90"/>
        <v>7.9112379164853843</v>
      </c>
      <c r="X164">
        <f t="shared" si="91"/>
        <v>7.978677638776305</v>
      </c>
      <c r="Y164">
        <f t="shared" si="92"/>
        <v>7.8550500339465854</v>
      </c>
      <c r="Z164">
        <f t="shared" si="93"/>
        <v>7.8961643898878267</v>
      </c>
      <c r="AA164">
        <f t="shared" si="94"/>
        <v>7.902920101196738</v>
      </c>
      <c r="AB164">
        <f t="shared" si="95"/>
        <v>7.7072867874072681</v>
      </c>
      <c r="AC164">
        <f t="shared" si="96"/>
        <v>7.468104737268062</v>
      </c>
      <c r="AD164">
        <f t="shared" si="97"/>
        <v>7.6325554782054752</v>
      </c>
      <c r="AE164">
        <f t="shared" si="98"/>
        <v>7.6464315672342389</v>
      </c>
      <c r="AF164">
        <f t="shared" si="99"/>
        <v>7.6914526154864022</v>
      </c>
      <c r="AG164">
        <f t="shared" si="100"/>
        <v>7.6782946005581882</v>
      </c>
      <c r="AH164">
        <f t="shared" si="101"/>
        <v>7.6902170320160685</v>
      </c>
      <c r="AI164">
        <f t="shared" si="102"/>
        <v>7.6835044823545484</v>
      </c>
      <c r="AJ164" t="str">
        <f t="shared" si="103"/>
        <v>C00062</v>
      </c>
      <c r="AL164">
        <f t="shared" si="104"/>
        <v>7.8014033958396114</v>
      </c>
      <c r="AM164">
        <f t="shared" si="105"/>
        <v>0.17209029426608904</v>
      </c>
      <c r="AN164">
        <f t="shared" si="106"/>
        <v>1.3579956296126987</v>
      </c>
      <c r="AO164">
        <f t="shared" si="107"/>
        <v>1.299066473905971</v>
      </c>
      <c r="AP164">
        <f t="shared" si="108"/>
        <v>1.2731233144112846</v>
      </c>
      <c r="AQ164">
        <f t="shared" si="109"/>
        <v>0.63823774091492258</v>
      </c>
      <c r="AR164">
        <f t="shared" si="110"/>
        <v>1.0301234226643197</v>
      </c>
      <c r="AS164">
        <f t="shared" si="111"/>
        <v>0.31173540806447009</v>
      </c>
      <c r="AT164">
        <f t="shared" si="112"/>
        <v>0.55064694062114938</v>
      </c>
      <c r="AU164">
        <f t="shared" si="113"/>
        <v>0.58990372344973585</v>
      </c>
      <c r="AV164">
        <f t="shared" si="114"/>
        <v>-0.54690247833976335</v>
      </c>
      <c r="AW164">
        <f t="shared" si="115"/>
        <v>-1.9367661610026485</v>
      </c>
      <c r="AX164">
        <f t="shared" si="116"/>
        <v>-0.98115886403832031</v>
      </c>
      <c r="AY164">
        <f t="shared" si="117"/>
        <v>-0.90052625725511481</v>
      </c>
      <c r="AZ164">
        <f t="shared" si="118"/>
        <v>-0.63891331479276414</v>
      </c>
      <c r="BA164">
        <f t="shared" si="119"/>
        <v>-0.71537326266099688</v>
      </c>
      <c r="BB164">
        <f t="shared" si="120"/>
        <v>-0.6460931704354258</v>
      </c>
      <c r="BC164">
        <f t="shared" si="121"/>
        <v>-0.68509914511951275</v>
      </c>
      <c r="BD164" t="str">
        <f t="shared" si="122"/>
        <v>C00062</v>
      </c>
    </row>
    <row r="165" spans="1:56" x14ac:dyDescent="0.2">
      <c r="A165" t="s">
        <v>253</v>
      </c>
      <c r="B165">
        <v>15625552</v>
      </c>
      <c r="C165">
        <v>8909907</v>
      </c>
      <c r="D165">
        <v>3256472.25</v>
      </c>
      <c r="E165">
        <v>8979912</v>
      </c>
      <c r="F165">
        <v>6279391.5</v>
      </c>
      <c r="G165">
        <v>10346925</v>
      </c>
      <c r="H165">
        <v>8872007</v>
      </c>
      <c r="I165">
        <v>3633593.25</v>
      </c>
      <c r="J165">
        <v>15438904</v>
      </c>
      <c r="K165">
        <v>6723367</v>
      </c>
      <c r="L165">
        <v>6805019</v>
      </c>
      <c r="M165">
        <v>7375350.5</v>
      </c>
      <c r="N165">
        <v>4718795</v>
      </c>
      <c r="O165">
        <v>7270205.5</v>
      </c>
      <c r="P165">
        <v>5884802.5</v>
      </c>
      <c r="Q165">
        <v>5479592.5</v>
      </c>
      <c r="R165" s="2" t="s">
        <v>399</v>
      </c>
      <c r="S165" s="4" t="s">
        <v>421</v>
      </c>
      <c r="T165">
        <f t="shared" si="87"/>
        <v>7.1938353685005616</v>
      </c>
      <c r="U165">
        <f t="shared" si="88"/>
        <v>6.9498731709731709</v>
      </c>
      <c r="V165">
        <f t="shared" si="89"/>
        <v>6.5127473816892136</v>
      </c>
      <c r="W165">
        <f t="shared" si="90"/>
        <v>6.9532720807539787</v>
      </c>
      <c r="X165">
        <f t="shared" si="91"/>
        <v>6.7979175607760203</v>
      </c>
      <c r="Y165">
        <f t="shared" si="92"/>
        <v>7.0148113011017248</v>
      </c>
      <c r="Z165">
        <f t="shared" si="93"/>
        <v>6.9480218757989229</v>
      </c>
      <c r="AA165">
        <f t="shared" si="94"/>
        <v>6.560336310102632</v>
      </c>
      <c r="AB165">
        <f t="shared" si="95"/>
        <v>7.1886164667479822</v>
      </c>
      <c r="AC165">
        <f t="shared" si="96"/>
        <v>6.8275868181898236</v>
      </c>
      <c r="AD165">
        <f t="shared" si="97"/>
        <v>6.832829342115935</v>
      </c>
      <c r="AE165">
        <f t="shared" si="98"/>
        <v>6.8677826641890283</v>
      </c>
      <c r="AF165">
        <f t="shared" si="99"/>
        <v>6.6738311105697665</v>
      </c>
      <c r="AG165">
        <f t="shared" si="100"/>
        <v>6.8615466868225425</v>
      </c>
      <c r="AH165">
        <f t="shared" si="101"/>
        <v>6.7697318920563481</v>
      </c>
      <c r="AI165">
        <f t="shared" si="102"/>
        <v>6.7387482625752906</v>
      </c>
      <c r="AJ165" t="str">
        <f t="shared" si="103"/>
        <v>C00898</v>
      </c>
      <c r="AL165">
        <f t="shared" si="104"/>
        <v>6.8557180183101813</v>
      </c>
      <c r="AM165">
        <f t="shared" si="105"/>
        <v>0.18995274077993304</v>
      </c>
      <c r="AN165">
        <f t="shared" si="106"/>
        <v>1.7800077472011901</v>
      </c>
      <c r="AO165">
        <f t="shared" si="107"/>
        <v>0.49567672609721192</v>
      </c>
      <c r="AP165">
        <f t="shared" si="108"/>
        <v>-1.8055577151072082</v>
      </c>
      <c r="AQ165">
        <f t="shared" si="109"/>
        <v>0.51357017563024909</v>
      </c>
      <c r="AR165">
        <f t="shared" si="110"/>
        <v>-0.30428862093190301</v>
      </c>
      <c r="AS165">
        <f t="shared" si="111"/>
        <v>0.83754139128668126</v>
      </c>
      <c r="AT165">
        <f t="shared" si="112"/>
        <v>0.48593064311548351</v>
      </c>
      <c r="AU165">
        <f t="shared" si="113"/>
        <v>-1.5550273557240193</v>
      </c>
      <c r="AV165">
        <f t="shared" si="114"/>
        <v>1.7525330093735021</v>
      </c>
      <c r="AW165">
        <f t="shared" si="115"/>
        <v>-0.14809578427167175</v>
      </c>
      <c r="AX165">
        <f t="shared" si="116"/>
        <v>-0.12049668828292261</v>
      </c>
      <c r="AY165">
        <f t="shared" si="117"/>
        <v>6.3513934199160849E-2</v>
      </c>
      <c r="AZ165">
        <f t="shared" si="118"/>
        <v>-0.95753768539269057</v>
      </c>
      <c r="BA165">
        <f t="shared" si="119"/>
        <v>3.0684835019642642E-2</v>
      </c>
      <c r="BB165">
        <f t="shared" si="120"/>
        <v>-0.45267115336572716</v>
      </c>
      <c r="BC165">
        <f t="shared" si="121"/>
        <v>-0.61578345884676844</v>
      </c>
      <c r="BD165" t="str">
        <f t="shared" si="122"/>
        <v>C00898</v>
      </c>
    </row>
    <row r="166" spans="1:56" x14ac:dyDescent="0.2">
      <c r="A166" t="s">
        <v>254</v>
      </c>
      <c r="B166">
        <v>117794984</v>
      </c>
      <c r="C166">
        <v>117865688</v>
      </c>
      <c r="D166">
        <v>125000280</v>
      </c>
      <c r="E166">
        <v>120379080</v>
      </c>
      <c r="F166">
        <v>121451640</v>
      </c>
      <c r="G166">
        <v>105853456</v>
      </c>
      <c r="H166">
        <v>117275688</v>
      </c>
      <c r="I166">
        <v>121227528</v>
      </c>
      <c r="J166">
        <v>113776936</v>
      </c>
      <c r="K166">
        <v>117799552</v>
      </c>
      <c r="L166">
        <v>119842528</v>
      </c>
      <c r="M166">
        <v>122536608</v>
      </c>
      <c r="N166">
        <v>109932944</v>
      </c>
      <c r="O166">
        <v>122844392</v>
      </c>
      <c r="P166">
        <v>120488088</v>
      </c>
      <c r="Q166">
        <v>111135096</v>
      </c>
      <c r="R166" s="2" t="s">
        <v>255</v>
      </c>
      <c r="S166" s="4" t="s">
        <v>421</v>
      </c>
      <c r="T166">
        <f t="shared" si="87"/>
        <v>8.0711267975181293</v>
      </c>
      <c r="U166">
        <f t="shared" si="88"/>
        <v>8.0713873955866084</v>
      </c>
      <c r="V166">
        <f t="shared" si="89"/>
        <v>8.0969109858266055</v>
      </c>
      <c r="W166">
        <f t="shared" si="90"/>
        <v>8.0805510198954824</v>
      </c>
      <c r="X166">
        <f t="shared" si="91"/>
        <v>8.0844033835968219</v>
      </c>
      <c r="Y166">
        <f t="shared" si="92"/>
        <v>8.0247050418285291</v>
      </c>
      <c r="Z166">
        <f t="shared" si="93"/>
        <v>8.0692079894233064</v>
      </c>
      <c r="AA166">
        <f t="shared" si="94"/>
        <v>8.0836012493765725</v>
      </c>
      <c r="AB166">
        <f t="shared" si="95"/>
        <v>8.0560542340880197</v>
      </c>
      <c r="AC166">
        <f t="shared" si="96"/>
        <v>8.0711436388016953</v>
      </c>
      <c r="AD166">
        <f t="shared" si="97"/>
        <v>8.0786109616109858</v>
      </c>
      <c r="AE166">
        <f t="shared" si="98"/>
        <v>8.0882658542293964</v>
      </c>
      <c r="AF166">
        <f t="shared" si="99"/>
        <v>8.0411278585146917</v>
      </c>
      <c r="AG166">
        <f t="shared" si="100"/>
        <v>8.0893553351828391</v>
      </c>
      <c r="AH166">
        <f t="shared" si="101"/>
        <v>8.0809441127068311</v>
      </c>
      <c r="AI166">
        <f t="shared" si="102"/>
        <v>8.0458512289877042</v>
      </c>
      <c r="AJ166" t="str">
        <f t="shared" si="103"/>
        <v>C00311</v>
      </c>
      <c r="AL166">
        <f t="shared" si="104"/>
        <v>8.0708279429483891</v>
      </c>
      <c r="AM166">
        <f t="shared" si="105"/>
        <v>1.9642152854511999E-2</v>
      </c>
      <c r="AN166">
        <f t="shared" si="106"/>
        <v>1.5214959987014083E-2</v>
      </c>
      <c r="AO166">
        <f t="shared" si="107"/>
        <v>2.848224644025284E-2</v>
      </c>
      <c r="AP166">
        <f t="shared" si="108"/>
        <v>1.3279116129179727</v>
      </c>
      <c r="AQ166">
        <f t="shared" si="109"/>
        <v>0.49501075666763289</v>
      </c>
      <c r="AR166">
        <f t="shared" si="110"/>
        <v>0.69113812263783148</v>
      </c>
      <c r="AS166">
        <f t="shared" si="111"/>
        <v>-2.3481591585957529</v>
      </c>
      <c r="AT166">
        <f t="shared" si="112"/>
        <v>-8.2473318331324735E-2</v>
      </c>
      <c r="AU166">
        <f t="shared" si="113"/>
        <v>0.65030073448640646</v>
      </c>
      <c r="AV166">
        <f t="shared" si="114"/>
        <v>-0.75214305528509162</v>
      </c>
      <c r="AW166">
        <f t="shared" si="115"/>
        <v>1.6072365165085974E-2</v>
      </c>
      <c r="AX166">
        <f t="shared" si="116"/>
        <v>0.39624061172137948</v>
      </c>
      <c r="AY166">
        <f t="shared" si="117"/>
        <v>0.88778004173822433</v>
      </c>
      <c r="AZ166">
        <f t="shared" si="118"/>
        <v>-1.5120585128159727</v>
      </c>
      <c r="BA166">
        <f t="shared" si="119"/>
        <v>0.94324651537339321</v>
      </c>
      <c r="BB166">
        <f t="shared" si="120"/>
        <v>0.51502347188578157</v>
      </c>
      <c r="BC166">
        <f t="shared" si="121"/>
        <v>-1.2715873939931948</v>
      </c>
      <c r="BD166" t="str">
        <f t="shared" si="122"/>
        <v>C00311</v>
      </c>
    </row>
    <row r="167" spans="1:56" x14ac:dyDescent="0.2">
      <c r="A167" t="s">
        <v>256</v>
      </c>
      <c r="B167">
        <v>66373700</v>
      </c>
      <c r="C167">
        <v>59324344</v>
      </c>
      <c r="D167">
        <v>66249512</v>
      </c>
      <c r="E167">
        <v>44458324</v>
      </c>
      <c r="F167">
        <v>47119192</v>
      </c>
      <c r="G167">
        <v>35027252</v>
      </c>
      <c r="H167">
        <v>37910260</v>
      </c>
      <c r="I167">
        <v>34547492</v>
      </c>
      <c r="J167">
        <v>33800760</v>
      </c>
      <c r="K167">
        <v>23466526</v>
      </c>
      <c r="L167">
        <v>27335976</v>
      </c>
      <c r="M167">
        <v>33435948</v>
      </c>
      <c r="N167">
        <v>26912160</v>
      </c>
      <c r="O167">
        <v>28461252</v>
      </c>
      <c r="P167">
        <v>29884474</v>
      </c>
      <c r="Q167">
        <v>29948604</v>
      </c>
      <c r="R167" s="2" t="s">
        <v>257</v>
      </c>
      <c r="S167" s="4" t="s">
        <v>421</v>
      </c>
      <c r="T167">
        <f t="shared" si="87"/>
        <v>7.8219960280502727</v>
      </c>
      <c r="U167">
        <f t="shared" si="88"/>
        <v>7.7732329445504753</v>
      </c>
      <c r="V167">
        <f t="shared" si="89"/>
        <v>7.8211826835675211</v>
      </c>
      <c r="W167">
        <f t="shared" si="90"/>
        <v>7.6479530865395047</v>
      </c>
      <c r="X167">
        <f t="shared" si="91"/>
        <v>7.6731978345602405</v>
      </c>
      <c r="Y167">
        <f t="shared" si="92"/>
        <v>7.5444060668623774</v>
      </c>
      <c r="Z167">
        <f t="shared" si="93"/>
        <v>7.578756762959225</v>
      </c>
      <c r="AA167">
        <f t="shared" si="94"/>
        <v>7.5384165249346555</v>
      </c>
      <c r="AB167">
        <f t="shared" si="95"/>
        <v>7.5289264653692385</v>
      </c>
      <c r="AC167">
        <f t="shared" si="96"/>
        <v>7.3704488011153382</v>
      </c>
      <c r="AD167">
        <f t="shared" si="97"/>
        <v>7.4367345844959987</v>
      </c>
      <c r="AE167">
        <f t="shared" si="98"/>
        <v>7.5242136411393954</v>
      </c>
      <c r="AF167">
        <f t="shared" si="99"/>
        <v>7.42994855612252</v>
      </c>
      <c r="AG167">
        <f t="shared" si="100"/>
        <v>7.454254000622889</v>
      </c>
      <c r="AH167">
        <f t="shared" si="101"/>
        <v>7.4754456161707763</v>
      </c>
      <c r="AI167">
        <f t="shared" si="102"/>
        <v>7.4763765833454725</v>
      </c>
      <c r="AJ167" t="str">
        <f t="shared" si="103"/>
        <v>C00047</v>
      </c>
      <c r="AL167">
        <f t="shared" si="104"/>
        <v>7.568468136275369</v>
      </c>
      <c r="AM167">
        <f t="shared" si="105"/>
        <v>0.14104319491878084</v>
      </c>
      <c r="AN167">
        <f t="shared" si="106"/>
        <v>1.7975194898335705</v>
      </c>
      <c r="AO167">
        <f t="shared" si="107"/>
        <v>1.4517879320091929</v>
      </c>
      <c r="AP167">
        <f t="shared" si="108"/>
        <v>1.7917528558373681</v>
      </c>
      <c r="AQ167">
        <f t="shared" si="109"/>
        <v>0.56355040957422164</v>
      </c>
      <c r="AR167">
        <f t="shared" si="110"/>
        <v>0.74253634388514622</v>
      </c>
      <c r="AS167">
        <f t="shared" si="111"/>
        <v>-0.17060071155398637</v>
      </c>
      <c r="AT167">
        <f t="shared" si="112"/>
        <v>7.2946636594418177E-2</v>
      </c>
      <c r="AU167">
        <f t="shared" si="113"/>
        <v>-0.21306672298524246</v>
      </c>
      <c r="AV167">
        <f t="shared" si="114"/>
        <v>-0.28035149748912302</v>
      </c>
      <c r="AW167">
        <f t="shared" si="115"/>
        <v>-1.4039623483717838</v>
      </c>
      <c r="AX167">
        <f t="shared" si="116"/>
        <v>-0.93399438275081992</v>
      </c>
      <c r="AY167">
        <f t="shared" si="117"/>
        <v>-0.31376554651542987</v>
      </c>
      <c r="AZ167">
        <f t="shared" si="118"/>
        <v>-0.9821075042480063</v>
      </c>
      <c r="BA167">
        <f t="shared" si="119"/>
        <v>-0.8097812568571614</v>
      </c>
      <c r="BB167">
        <f t="shared" si="120"/>
        <v>-0.65953213948506562</v>
      </c>
      <c r="BC167">
        <f t="shared" si="121"/>
        <v>-0.65293155747731757</v>
      </c>
      <c r="BD167" t="str">
        <f t="shared" si="122"/>
        <v>C00047</v>
      </c>
    </row>
    <row r="168" spans="1:56" x14ac:dyDescent="0.2">
      <c r="A168" t="s">
        <v>258</v>
      </c>
      <c r="B168">
        <v>9037616</v>
      </c>
      <c r="C168">
        <v>12529364</v>
      </c>
      <c r="D168">
        <v>12941183</v>
      </c>
      <c r="E168">
        <v>7456745.5</v>
      </c>
      <c r="F168">
        <v>15646492</v>
      </c>
      <c r="G168">
        <v>8408733</v>
      </c>
      <c r="H168">
        <v>11460493</v>
      </c>
      <c r="I168">
        <v>11901162</v>
      </c>
      <c r="J168">
        <v>24021146</v>
      </c>
      <c r="K168">
        <v>15651632</v>
      </c>
      <c r="L168">
        <v>21915098</v>
      </c>
      <c r="M168">
        <v>29688542</v>
      </c>
      <c r="N168">
        <v>25919348</v>
      </c>
      <c r="O168">
        <v>24616234</v>
      </c>
      <c r="P168">
        <v>25977734</v>
      </c>
      <c r="Q168">
        <v>33208400</v>
      </c>
      <c r="R168" s="2" t="s">
        <v>259</v>
      </c>
      <c r="S168" s="4" t="s">
        <v>421</v>
      </c>
      <c r="T168">
        <f t="shared" si="87"/>
        <v>6.9560538846136897</v>
      </c>
      <c r="U168">
        <f t="shared" si="88"/>
        <v>7.0979290264370292</v>
      </c>
      <c r="V168">
        <f t="shared" si="89"/>
        <v>7.1119739785651834</v>
      </c>
      <c r="W168">
        <f t="shared" si="90"/>
        <v>6.8725493207986048</v>
      </c>
      <c r="X168">
        <f t="shared" si="91"/>
        <v>7.1944169824053157</v>
      </c>
      <c r="Y168">
        <f t="shared" si="92"/>
        <v>6.9247305626752613</v>
      </c>
      <c r="Z168">
        <f t="shared" si="93"/>
        <v>7.0592033002294823</v>
      </c>
      <c r="AA168">
        <f t="shared" si="94"/>
        <v>7.0755893669009993</v>
      </c>
      <c r="AB168">
        <f t="shared" si="95"/>
        <v>7.3805937228672169</v>
      </c>
      <c r="AC168">
        <f t="shared" si="96"/>
        <v>7.1945596282493316</v>
      </c>
      <c r="AD168">
        <f t="shared" si="97"/>
        <v>7.3407434170736678</v>
      </c>
      <c r="AE168">
        <f t="shared" si="98"/>
        <v>7.4725888699805996</v>
      </c>
      <c r="AF168">
        <f t="shared" si="99"/>
        <v>7.4136240726783544</v>
      </c>
      <c r="AG168">
        <f t="shared" si="100"/>
        <v>7.3912216116284881</v>
      </c>
      <c r="AH168">
        <f t="shared" si="101"/>
        <v>7.4146012655123732</v>
      </c>
      <c r="AI168">
        <f t="shared" si="102"/>
        <v>7.5212479515420645</v>
      </c>
      <c r="AJ168" t="str">
        <f t="shared" si="103"/>
        <v>C00077</v>
      </c>
      <c r="AL168">
        <f t="shared" si="104"/>
        <v>7.2138516851348546</v>
      </c>
      <c r="AM168">
        <f t="shared" si="105"/>
        <v>0.20835049824828528</v>
      </c>
      <c r="AN168">
        <f t="shared" si="106"/>
        <v>-1.2373274971195642</v>
      </c>
      <c r="AO168">
        <f t="shared" si="107"/>
        <v>-0.55638292047511106</v>
      </c>
      <c r="AP168">
        <f t="shared" si="108"/>
        <v>-0.48897270429498318</v>
      </c>
      <c r="AQ168">
        <f t="shared" si="109"/>
        <v>-1.6381163817977995</v>
      </c>
      <c r="AR168">
        <f t="shared" si="110"/>
        <v>-9.3278887705750435E-2</v>
      </c>
      <c r="AS168">
        <f t="shared" si="111"/>
        <v>-1.3876670557084823</v>
      </c>
      <c r="AT168">
        <f t="shared" si="112"/>
        <v>-0.74225109229680053</v>
      </c>
      <c r="AU168">
        <f t="shared" si="113"/>
        <v>-0.66360445209539243</v>
      </c>
      <c r="AV168">
        <f t="shared" si="114"/>
        <v>0.80029584346690941</v>
      </c>
      <c r="AW168">
        <f t="shared" si="115"/>
        <v>-9.2594244063353565E-2</v>
      </c>
      <c r="AX168">
        <f t="shared" si="116"/>
        <v>0.60903013434409925</v>
      </c>
      <c r="AY168">
        <f t="shared" si="117"/>
        <v>1.2418361704007796</v>
      </c>
      <c r="AZ168">
        <f t="shared" si="118"/>
        <v>0.95882846080567952</v>
      </c>
      <c r="BA168">
        <f t="shared" si="119"/>
        <v>0.85130550675365724</v>
      </c>
      <c r="BB168">
        <f t="shared" si="120"/>
        <v>0.96351859998093725</v>
      </c>
      <c r="BC168">
        <f t="shared" si="121"/>
        <v>1.4753805198051151</v>
      </c>
      <c r="BD168" t="str">
        <f t="shared" si="122"/>
        <v>C00077</v>
      </c>
    </row>
    <row r="169" spans="1:56" x14ac:dyDescent="0.2">
      <c r="A169" t="s">
        <v>260</v>
      </c>
      <c r="B169">
        <v>15825255</v>
      </c>
      <c r="C169">
        <v>12958883</v>
      </c>
      <c r="D169">
        <v>20335584</v>
      </c>
      <c r="E169">
        <v>15496730</v>
      </c>
      <c r="F169">
        <v>17271132</v>
      </c>
      <c r="G169">
        <v>11702107</v>
      </c>
      <c r="H169">
        <v>14499734</v>
      </c>
      <c r="I169">
        <v>16830528</v>
      </c>
      <c r="J169">
        <v>11449074</v>
      </c>
      <c r="K169">
        <v>10895106</v>
      </c>
      <c r="L169">
        <v>11881695</v>
      </c>
      <c r="M169">
        <v>14007715</v>
      </c>
      <c r="N169">
        <v>14015857</v>
      </c>
      <c r="O169">
        <v>16791266</v>
      </c>
      <c r="P169">
        <v>15300942</v>
      </c>
      <c r="Q169">
        <v>14473254</v>
      </c>
      <c r="R169" s="2" t="s">
        <v>400</v>
      </c>
      <c r="S169" s="4" t="s">
        <v>421</v>
      </c>
      <c r="T169">
        <f t="shared" si="87"/>
        <v>7.1993507167431456</v>
      </c>
      <c r="U169">
        <f t="shared" si="88"/>
        <v>7.1125675688306584</v>
      </c>
      <c r="V169">
        <f t="shared" si="89"/>
        <v>7.308256649046263</v>
      </c>
      <c r="W169">
        <f t="shared" si="90"/>
        <v>7.1902400663780934</v>
      </c>
      <c r="X169">
        <f t="shared" si="91"/>
        <v>7.237320803418184</v>
      </c>
      <c r="Y169">
        <f t="shared" si="92"/>
        <v>7.0682640648306823</v>
      </c>
      <c r="Z169">
        <f t="shared" si="93"/>
        <v>7.1613600351045044</v>
      </c>
      <c r="AA169">
        <f t="shared" si="94"/>
        <v>7.2260977406870266</v>
      </c>
      <c r="AB169">
        <f t="shared" si="95"/>
        <v>7.0587703624005353</v>
      </c>
      <c r="AC169">
        <f t="shared" si="96"/>
        <v>7.0372314599141825</v>
      </c>
      <c r="AD169">
        <f t="shared" si="97"/>
        <v>7.0748783999581004</v>
      </c>
      <c r="AE169">
        <f t="shared" si="98"/>
        <v>7.146367297039804</v>
      </c>
      <c r="AF169">
        <f t="shared" si="99"/>
        <v>7.146619657857415</v>
      </c>
      <c r="AG169">
        <f t="shared" si="100"/>
        <v>7.2250834415869161</v>
      </c>
      <c r="AH169">
        <f t="shared" si="101"/>
        <v>7.1847181689096535</v>
      </c>
      <c r="AI169">
        <f t="shared" si="102"/>
        <v>7.1605661838743266</v>
      </c>
      <c r="AJ169" t="str">
        <f t="shared" si="103"/>
        <v>C00711</v>
      </c>
      <c r="AL169">
        <f t="shared" si="104"/>
        <v>7.1586057885362182</v>
      </c>
      <c r="AM169">
        <f t="shared" si="105"/>
        <v>7.4477623484394961E-2</v>
      </c>
      <c r="AN169">
        <f t="shared" si="106"/>
        <v>0.54707610555624908</v>
      </c>
      <c r="AO169">
        <f t="shared" si="107"/>
        <v>-0.61814834512282735</v>
      </c>
      <c r="AP169">
        <f t="shared" si="108"/>
        <v>2.0093398998076335</v>
      </c>
      <c r="AQ169">
        <f t="shared" si="109"/>
        <v>0.42474875488613628</v>
      </c>
      <c r="AR169">
        <f t="shared" si="110"/>
        <v>1.0568948255774921</v>
      </c>
      <c r="AS169">
        <f t="shared" si="111"/>
        <v>-1.2130049198530741</v>
      </c>
      <c r="AT169">
        <f t="shared" si="112"/>
        <v>3.6980860014461173E-2</v>
      </c>
      <c r="AU169">
        <f t="shared" si="113"/>
        <v>0.90620442749424923</v>
      </c>
      <c r="AV169">
        <f t="shared" si="114"/>
        <v>-1.3404754537663386</v>
      </c>
      <c r="AW169">
        <f t="shared" si="115"/>
        <v>-1.6296751016426674</v>
      </c>
      <c r="AX169">
        <f t="shared" si="116"/>
        <v>-1.124195223490998</v>
      </c>
      <c r="AY169">
        <f t="shared" si="117"/>
        <v>-0.16432440945136353</v>
      </c>
      <c r="AZ169">
        <f t="shared" si="118"/>
        <v>-0.16093599819702326</v>
      </c>
      <c r="BA169">
        <f t="shared" si="119"/>
        <v>0.89258558397243559</v>
      </c>
      <c r="BB169">
        <f t="shared" si="120"/>
        <v>0.35060705688207905</v>
      </c>
      <c r="BC169">
        <f t="shared" si="121"/>
        <v>2.6321937333556148E-2</v>
      </c>
      <c r="BD169" t="str">
        <f t="shared" si="122"/>
        <v>C00711</v>
      </c>
    </row>
    <row r="170" spans="1:56" x14ac:dyDescent="0.2">
      <c r="A170" t="s">
        <v>261</v>
      </c>
      <c r="B170">
        <v>13953703</v>
      </c>
      <c r="C170">
        <v>9287092</v>
      </c>
      <c r="D170">
        <v>12197240</v>
      </c>
      <c r="E170">
        <v>9686118</v>
      </c>
      <c r="F170">
        <v>9142145</v>
      </c>
      <c r="G170">
        <v>6417039</v>
      </c>
      <c r="H170">
        <v>6130422.5</v>
      </c>
      <c r="I170">
        <v>6152132</v>
      </c>
      <c r="J170">
        <v>6805301.5</v>
      </c>
      <c r="K170">
        <v>7247679</v>
      </c>
      <c r="L170">
        <v>4003655.25</v>
      </c>
      <c r="M170">
        <v>7039753</v>
      </c>
      <c r="N170">
        <v>6792356</v>
      </c>
      <c r="O170">
        <v>8452525</v>
      </c>
      <c r="P170">
        <v>6005408.5</v>
      </c>
      <c r="Q170">
        <v>6325590.5</v>
      </c>
      <c r="R170" s="2"/>
      <c r="S170" s="4" t="s">
        <v>421</v>
      </c>
      <c r="T170">
        <f t="shared" si="87"/>
        <v>7.1446894749256371</v>
      </c>
      <c r="U170">
        <f t="shared" si="88"/>
        <v>6.9678797477871237</v>
      </c>
      <c r="V170">
        <f t="shared" si="89"/>
        <v>7.0862615693324678</v>
      </c>
      <c r="W170">
        <f t="shared" si="90"/>
        <v>6.9861497554844947</v>
      </c>
      <c r="X170">
        <f t="shared" si="91"/>
        <v>6.9610481051835107</v>
      </c>
      <c r="Y170">
        <f t="shared" si="92"/>
        <v>6.8073346787540743</v>
      </c>
      <c r="Z170">
        <f t="shared" si="93"/>
        <v>6.7874904065079003</v>
      </c>
      <c r="AA170">
        <f t="shared" si="94"/>
        <v>6.7890256451055668</v>
      </c>
      <c r="AB170">
        <f t="shared" si="95"/>
        <v>6.8328473708157231</v>
      </c>
      <c r="AC170">
        <f t="shared" si="96"/>
        <v>6.8601989501742962</v>
      </c>
      <c r="AD170">
        <f t="shared" si="97"/>
        <v>6.6024566738350812</v>
      </c>
      <c r="AE170">
        <f t="shared" si="98"/>
        <v>6.8475574215542023</v>
      </c>
      <c r="AF170">
        <f t="shared" si="99"/>
        <v>6.8320204400132551</v>
      </c>
      <c r="AG170">
        <f t="shared" si="100"/>
        <v>6.9269864639507901</v>
      </c>
      <c r="AH170">
        <f t="shared" si="101"/>
        <v>6.7785425543304072</v>
      </c>
      <c r="AI170">
        <f t="shared" si="102"/>
        <v>6.8011010735508153</v>
      </c>
      <c r="AJ170">
        <f t="shared" si="103"/>
        <v>0</v>
      </c>
      <c r="AL170">
        <f t="shared" si="104"/>
        <v>6.875724395706583</v>
      </c>
      <c r="AM170">
        <f t="shared" si="105"/>
        <v>0.13208900387371392</v>
      </c>
      <c r="AN170">
        <f t="shared" si="106"/>
        <v>2.0362412565106709</v>
      </c>
      <c r="AO170">
        <f t="shared" si="107"/>
        <v>0.69767618331536141</v>
      </c>
      <c r="AP170">
        <f t="shared" si="108"/>
        <v>1.5939038636946088</v>
      </c>
      <c r="AQ170">
        <f t="shared" si="109"/>
        <v>0.83599207004003029</v>
      </c>
      <c r="AR170">
        <f t="shared" si="110"/>
        <v>0.64595618843869063</v>
      </c>
      <c r="AS170">
        <f t="shared" si="111"/>
        <v>-0.51775480885520153</v>
      </c>
      <c r="AT170">
        <f t="shared" si="112"/>
        <v>-0.66798890604883698</v>
      </c>
      <c r="AU170">
        <f t="shared" si="113"/>
        <v>-0.65636614750994782</v>
      </c>
      <c r="AV170">
        <f t="shared" si="114"/>
        <v>-0.32460707275719353</v>
      </c>
      <c r="AW170">
        <f t="shared" si="115"/>
        <v>-0.11753775921522003</v>
      </c>
      <c r="AX170">
        <f t="shared" si="116"/>
        <v>-2.0688150705774446</v>
      </c>
      <c r="AY170">
        <f t="shared" si="117"/>
        <v>-0.21324238450090985</v>
      </c>
      <c r="AZ170">
        <f t="shared" si="118"/>
        <v>-0.33086747883352813</v>
      </c>
      <c r="BA170">
        <f t="shared" si="119"/>
        <v>0.38808732552194219</v>
      </c>
      <c r="BB170">
        <f t="shared" si="120"/>
        <v>-0.73572998906925113</v>
      </c>
      <c r="BC170">
        <f t="shared" si="121"/>
        <v>-0.56494727015363599</v>
      </c>
      <c r="BD170">
        <f t="shared" si="122"/>
        <v>0</v>
      </c>
    </row>
    <row r="171" spans="1:56" x14ac:dyDescent="0.2">
      <c r="A171" t="s">
        <v>262</v>
      </c>
      <c r="B171">
        <v>10324231</v>
      </c>
      <c r="C171">
        <v>6948365.5</v>
      </c>
      <c r="D171">
        <v>3996323.25</v>
      </c>
      <c r="E171">
        <v>4240538.5</v>
      </c>
      <c r="F171">
        <v>18961274</v>
      </c>
      <c r="G171">
        <v>15175786</v>
      </c>
      <c r="H171">
        <v>14017361</v>
      </c>
      <c r="I171">
        <v>17244794</v>
      </c>
      <c r="J171">
        <v>8381827</v>
      </c>
      <c r="K171">
        <v>1371480.625</v>
      </c>
      <c r="L171">
        <v>4206681</v>
      </c>
      <c r="M171">
        <v>3570901.5</v>
      </c>
      <c r="N171">
        <v>5140279</v>
      </c>
      <c r="O171">
        <v>5777566</v>
      </c>
      <c r="P171">
        <v>8293793</v>
      </c>
      <c r="Q171">
        <v>6227453</v>
      </c>
      <c r="R171" s="2" t="s">
        <v>263</v>
      </c>
      <c r="S171" s="4" t="s">
        <v>422</v>
      </c>
      <c r="T171">
        <f t="shared" si="87"/>
        <v>7.0138577131231852</v>
      </c>
      <c r="U171">
        <f t="shared" si="88"/>
        <v>6.8418826552641452</v>
      </c>
      <c r="V171">
        <f t="shared" si="89"/>
        <v>6.6016606096874391</v>
      </c>
      <c r="W171">
        <f t="shared" si="90"/>
        <v>6.6274210105381615</v>
      </c>
      <c r="X171">
        <f t="shared" si="91"/>
        <v>7.2778675140453926</v>
      </c>
      <c r="Y171">
        <f t="shared" si="92"/>
        <v>7.1811511937586765</v>
      </c>
      <c r="Z171">
        <f t="shared" si="93"/>
        <v>7.1466662582085707</v>
      </c>
      <c r="AA171">
        <f t="shared" si="94"/>
        <v>7.2366580108114045</v>
      </c>
      <c r="AB171">
        <f t="shared" si="95"/>
        <v>6.9233386927993372</v>
      </c>
      <c r="AC171">
        <f t="shared" si="96"/>
        <v>6.1371896766762228</v>
      </c>
      <c r="AD171">
        <f t="shared" si="97"/>
        <v>6.6239395799531842</v>
      </c>
      <c r="AE171">
        <f t="shared" si="98"/>
        <v>6.5527778707482405</v>
      </c>
      <c r="AF171">
        <f t="shared" si="99"/>
        <v>6.7109866919275829</v>
      </c>
      <c r="AG171">
        <f t="shared" si="100"/>
        <v>6.7617449153406035</v>
      </c>
      <c r="AH171">
        <f t="shared" si="101"/>
        <v>6.9187531918575607</v>
      </c>
      <c r="AI171">
        <f t="shared" si="102"/>
        <v>6.7943104585019727</v>
      </c>
      <c r="AJ171" t="str">
        <f t="shared" si="103"/>
        <v>C00637</v>
      </c>
      <c r="AL171">
        <f t="shared" si="104"/>
        <v>6.8343878777026053</v>
      </c>
      <c r="AM171">
        <f t="shared" si="105"/>
        <v>0.30025985529103588</v>
      </c>
      <c r="AN171">
        <f t="shared" si="106"/>
        <v>0.59771505333812736</v>
      </c>
      <c r="AO171">
        <f t="shared" si="107"/>
        <v>2.4960971070459605E-2</v>
      </c>
      <c r="AP171">
        <f t="shared" si="108"/>
        <v>-0.77508619255673816</v>
      </c>
      <c r="AQ171">
        <f t="shared" si="109"/>
        <v>-0.68929250286834032</v>
      </c>
      <c r="AR171">
        <f t="shared" si="110"/>
        <v>1.4769861122890748</v>
      </c>
      <c r="AS171">
        <f t="shared" si="111"/>
        <v>1.154877383524882</v>
      </c>
      <c r="AT171">
        <f t="shared" si="112"/>
        <v>1.0400270798881197</v>
      </c>
      <c r="AU171">
        <f t="shared" si="113"/>
        <v>1.3397399819529214</v>
      </c>
      <c r="AV171">
        <f t="shared" si="114"/>
        <v>0.29624611325584543</v>
      </c>
      <c r="AW171">
        <f t="shared" si="115"/>
        <v>-2.3219827384203664</v>
      </c>
      <c r="AX171">
        <f t="shared" si="116"/>
        <v>-0.7008872283157459</v>
      </c>
      <c r="AY171">
        <f t="shared" si="117"/>
        <v>-0.93788763962936639</v>
      </c>
      <c r="AZ171">
        <f t="shared" si="118"/>
        <v>-0.41098130036535202</v>
      </c>
      <c r="BA171">
        <f t="shared" si="119"/>
        <v>-0.24193364874431972</v>
      </c>
      <c r="BB171">
        <f t="shared" si="120"/>
        <v>0.28097433828835289</v>
      </c>
      <c r="BC171">
        <f t="shared" si="121"/>
        <v>-0.13347578270756952</v>
      </c>
      <c r="BD171" t="str">
        <f t="shared" si="122"/>
        <v>C00637</v>
      </c>
    </row>
    <row r="172" spans="1:56" x14ac:dyDescent="0.2">
      <c r="A172" t="s">
        <v>264</v>
      </c>
      <c r="B172">
        <v>153485760</v>
      </c>
      <c r="C172">
        <v>160521888</v>
      </c>
      <c r="D172">
        <v>186947600</v>
      </c>
      <c r="E172">
        <v>133973120</v>
      </c>
      <c r="F172">
        <v>69938472</v>
      </c>
      <c r="G172">
        <v>80010632</v>
      </c>
      <c r="H172">
        <v>96064080</v>
      </c>
      <c r="I172">
        <v>130810832</v>
      </c>
      <c r="J172">
        <v>53349036</v>
      </c>
      <c r="K172">
        <v>45565384</v>
      </c>
      <c r="L172">
        <v>49942700</v>
      </c>
      <c r="M172">
        <v>69826280</v>
      </c>
      <c r="N172">
        <v>37268196</v>
      </c>
      <c r="O172">
        <v>47649504</v>
      </c>
      <c r="P172">
        <v>52928792</v>
      </c>
      <c r="Q172">
        <v>30969778</v>
      </c>
      <c r="R172" s="2" t="s">
        <v>103</v>
      </c>
      <c r="S172" s="4" t="s">
        <v>422</v>
      </c>
      <c r="T172">
        <f t="shared" si="87"/>
        <v>8.1860680889969366</v>
      </c>
      <c r="U172">
        <f t="shared" si="88"/>
        <v>8.2055342591054092</v>
      </c>
      <c r="V172">
        <f t="shared" si="89"/>
        <v>8.2717198941308006</v>
      </c>
      <c r="W172">
        <f t="shared" si="90"/>
        <v>8.1270176714491473</v>
      </c>
      <c r="X172">
        <f t="shared" si="91"/>
        <v>7.8447161397087504</v>
      </c>
      <c r="Y172">
        <f t="shared" si="92"/>
        <v>7.9031477008935846</v>
      </c>
      <c r="Z172">
        <f t="shared" si="93"/>
        <v>7.9825610278979608</v>
      </c>
      <c r="AA172">
        <f t="shared" si="94"/>
        <v>8.1166437079259399</v>
      </c>
      <c r="AB172">
        <f t="shared" si="95"/>
        <v>7.7271265762691472</v>
      </c>
      <c r="AC172">
        <f t="shared" si="96"/>
        <v>7.658635034620012</v>
      </c>
      <c r="AD172">
        <f t="shared" si="97"/>
        <v>7.6984720174587444</v>
      </c>
      <c r="AE172">
        <f t="shared" si="98"/>
        <v>7.8440189055881042</v>
      </c>
      <c r="AF172">
        <f t="shared" si="99"/>
        <v>7.5713383708539936</v>
      </c>
      <c r="AG172">
        <f t="shared" si="100"/>
        <v>7.6780583842779304</v>
      </c>
      <c r="AH172">
        <f t="shared" si="101"/>
        <v>7.7236919821507062</v>
      </c>
      <c r="AI172">
        <f t="shared" si="102"/>
        <v>7.4909380922240603</v>
      </c>
      <c r="AJ172" t="str">
        <f t="shared" si="103"/>
        <v>C00153</v>
      </c>
      <c r="AL172">
        <f t="shared" si="104"/>
        <v>7.8768554908469506</v>
      </c>
      <c r="AM172">
        <f t="shared" si="105"/>
        <v>0.24504796324908237</v>
      </c>
      <c r="AN172">
        <f t="shared" si="106"/>
        <v>1.2618452079753979</v>
      </c>
      <c r="AO172">
        <f t="shared" si="107"/>
        <v>1.3412834120329684</v>
      </c>
      <c r="AP172">
        <f t="shared" si="108"/>
        <v>1.6113759855350629</v>
      </c>
      <c r="AQ172">
        <f t="shared" si="109"/>
        <v>1.0208702708045607</v>
      </c>
      <c r="AR172">
        <f t="shared" si="110"/>
        <v>-0.13115534898582987</v>
      </c>
      <c r="AS172">
        <f t="shared" si="111"/>
        <v>0.10729413824961682</v>
      </c>
      <c r="AT172">
        <f t="shared" si="112"/>
        <v>0.43136672367916978</v>
      </c>
      <c r="AU172">
        <f t="shared" si="113"/>
        <v>0.97853585028680001</v>
      </c>
      <c r="AV172">
        <f t="shared" si="114"/>
        <v>-0.61101880869586878</v>
      </c>
      <c r="AW172">
        <f t="shared" si="115"/>
        <v>-0.89052140378381905</v>
      </c>
      <c r="AX172">
        <f t="shared" si="116"/>
        <v>-0.72795329952155452</v>
      </c>
      <c r="AY172">
        <f t="shared" si="117"/>
        <v>-0.13400064552044108</v>
      </c>
      <c r="AZ172">
        <f t="shared" si="118"/>
        <v>-1.246764575971643</v>
      </c>
      <c r="BA172">
        <f t="shared" si="119"/>
        <v>-0.81125794286627106</v>
      </c>
      <c r="BB172">
        <f t="shared" si="120"/>
        <v>-0.62503481630883517</v>
      </c>
      <c r="BC172">
        <f t="shared" si="121"/>
        <v>-1.5748647469092378</v>
      </c>
      <c r="BD172" t="str">
        <f t="shared" si="122"/>
        <v>C00153</v>
      </c>
    </row>
    <row r="173" spans="1:56" x14ac:dyDescent="0.2">
      <c r="A173" t="s">
        <v>265</v>
      </c>
      <c r="B173">
        <v>48884.15625</v>
      </c>
      <c r="C173">
        <v>49357.078119999998</v>
      </c>
      <c r="D173">
        <v>84678.945309999996</v>
      </c>
      <c r="E173">
        <v>54520.292970000002</v>
      </c>
      <c r="F173">
        <v>58338.199220000002</v>
      </c>
      <c r="G173">
        <v>77701.515620000006</v>
      </c>
      <c r="H173">
        <v>88044.867190000004</v>
      </c>
      <c r="I173">
        <v>70879.539059999996</v>
      </c>
      <c r="J173">
        <v>139609.57810000001</v>
      </c>
      <c r="K173">
        <v>54237.097659999999</v>
      </c>
      <c r="L173">
        <v>58604.121090000001</v>
      </c>
      <c r="M173">
        <v>54827.015619999998</v>
      </c>
      <c r="P173">
        <v>81654.320309999996</v>
      </c>
      <c r="Q173">
        <v>41216.882810000003</v>
      </c>
      <c r="R173" s="2" t="s">
        <v>266</v>
      </c>
      <c r="S173" s="4" t="s">
        <v>422</v>
      </c>
      <c r="T173">
        <f t="shared" si="87"/>
        <v>4.6891681235786864</v>
      </c>
      <c r="U173">
        <f t="shared" si="88"/>
        <v>4.6933494420721793</v>
      </c>
      <c r="V173">
        <f t="shared" si="89"/>
        <v>4.9277754401728391</v>
      </c>
      <c r="W173">
        <f t="shared" si="90"/>
        <v>4.7365581808917723</v>
      </c>
      <c r="X173">
        <f t="shared" si="91"/>
        <v>4.7659530192168518</v>
      </c>
      <c r="Y173">
        <f t="shared" si="92"/>
        <v>4.8904294900876977</v>
      </c>
      <c r="Z173">
        <f t="shared" si="93"/>
        <v>4.944704042687901</v>
      </c>
      <c r="AA173">
        <f t="shared" si="94"/>
        <v>4.8505208846076995</v>
      </c>
      <c r="AB173">
        <f t="shared" si="95"/>
        <v>5.1449152146573605</v>
      </c>
      <c r="AC173">
        <f t="shared" si="96"/>
        <v>4.7342964414790067</v>
      </c>
      <c r="AD173">
        <f t="shared" si="97"/>
        <v>4.7679281570371357</v>
      </c>
      <c r="AE173">
        <f t="shared" si="98"/>
        <v>4.7389946067253499</v>
      </c>
      <c r="AF173" t="e">
        <f t="shared" si="99"/>
        <v>#NUM!</v>
      </c>
      <c r="AG173" t="e">
        <f t="shared" si="100"/>
        <v>#NUM!</v>
      </c>
      <c r="AH173">
        <f t="shared" si="101"/>
        <v>4.9119791680947973</v>
      </c>
      <c r="AI173">
        <f t="shared" si="102"/>
        <v>4.6150751434449608</v>
      </c>
      <c r="AJ173" t="str">
        <f t="shared" si="103"/>
        <v>C00178</v>
      </c>
      <c r="AL173" t="e">
        <f t="shared" si="104"/>
        <v>#NUM!</v>
      </c>
      <c r="AM173" t="e">
        <f t="shared" si="105"/>
        <v>#NUM!</v>
      </c>
      <c r="AN173" t="e">
        <f t="shared" si="106"/>
        <v>#NUM!</v>
      </c>
      <c r="AO173" t="e">
        <f t="shared" si="107"/>
        <v>#NUM!</v>
      </c>
      <c r="AP173" t="e">
        <f t="shared" si="108"/>
        <v>#NUM!</v>
      </c>
      <c r="AQ173" t="e">
        <f t="shared" si="109"/>
        <v>#NUM!</v>
      </c>
      <c r="AR173" t="e">
        <f t="shared" si="110"/>
        <v>#NUM!</v>
      </c>
      <c r="AS173" t="e">
        <f t="shared" si="111"/>
        <v>#NUM!</v>
      </c>
      <c r="AT173" t="e">
        <f t="shared" si="112"/>
        <v>#NUM!</v>
      </c>
      <c r="AU173" t="e">
        <f t="shared" si="113"/>
        <v>#NUM!</v>
      </c>
      <c r="AV173" t="e">
        <f t="shared" si="114"/>
        <v>#NUM!</v>
      </c>
      <c r="AW173" t="e">
        <f t="shared" si="115"/>
        <v>#NUM!</v>
      </c>
      <c r="AX173" t="e">
        <f t="shared" si="116"/>
        <v>#NUM!</v>
      </c>
      <c r="AY173" t="e">
        <f t="shared" si="117"/>
        <v>#NUM!</v>
      </c>
      <c r="AZ173" t="e">
        <f t="shared" si="118"/>
        <v>#NUM!</v>
      </c>
      <c r="BA173" t="e">
        <f t="shared" si="119"/>
        <v>#NUM!</v>
      </c>
      <c r="BB173" t="e">
        <f t="shared" si="120"/>
        <v>#NUM!</v>
      </c>
      <c r="BC173" t="e">
        <f t="shared" si="121"/>
        <v>#NUM!</v>
      </c>
      <c r="BD173" t="str">
        <f t="shared" si="122"/>
        <v>C00178</v>
      </c>
    </row>
    <row r="174" spans="1:56" x14ac:dyDescent="0.2">
      <c r="A174" t="s">
        <v>23</v>
      </c>
      <c r="E174">
        <v>51053.675779999998</v>
      </c>
      <c r="F174">
        <v>47497.601560000003</v>
      </c>
      <c r="J174">
        <v>303965.625</v>
      </c>
      <c r="R174" s="2" t="s">
        <v>24</v>
      </c>
      <c r="S174" s="4" t="s">
        <v>422</v>
      </c>
      <c r="T174" t="e">
        <f t="shared" si="87"/>
        <v>#NUM!</v>
      </c>
      <c r="U174" t="e">
        <f t="shared" si="88"/>
        <v>#NUM!</v>
      </c>
      <c r="V174" t="e">
        <f t="shared" si="89"/>
        <v>#NUM!</v>
      </c>
      <c r="W174">
        <f t="shared" si="90"/>
        <v>4.7080270160311812</v>
      </c>
      <c r="X174">
        <f t="shared" si="91"/>
        <v>4.6766716800342181</v>
      </c>
      <c r="Y174" t="e">
        <f t="shared" si="92"/>
        <v>#NUM!</v>
      </c>
      <c r="Z174" t="e">
        <f t="shared" si="93"/>
        <v>#NUM!</v>
      </c>
      <c r="AA174" t="e">
        <f t="shared" si="94"/>
        <v>#NUM!</v>
      </c>
      <c r="AB174">
        <f t="shared" si="95"/>
        <v>5.4828244726978159</v>
      </c>
      <c r="AC174" t="e">
        <f t="shared" si="96"/>
        <v>#NUM!</v>
      </c>
      <c r="AD174" t="e">
        <f t="shared" si="97"/>
        <v>#NUM!</v>
      </c>
      <c r="AE174" t="e">
        <f t="shared" si="98"/>
        <v>#NUM!</v>
      </c>
      <c r="AF174" t="e">
        <f t="shared" si="99"/>
        <v>#NUM!</v>
      </c>
      <c r="AG174" t="e">
        <f t="shared" si="100"/>
        <v>#NUM!</v>
      </c>
      <c r="AH174" t="e">
        <f t="shared" si="101"/>
        <v>#NUM!</v>
      </c>
      <c r="AI174" t="e">
        <f t="shared" si="102"/>
        <v>#NUM!</v>
      </c>
      <c r="AJ174" t="str">
        <f t="shared" si="103"/>
        <v>C01494</v>
      </c>
      <c r="AL174" t="e">
        <f t="shared" si="104"/>
        <v>#NUM!</v>
      </c>
      <c r="AM174" t="e">
        <f t="shared" si="105"/>
        <v>#NUM!</v>
      </c>
      <c r="AN174" t="e">
        <f t="shared" si="106"/>
        <v>#NUM!</v>
      </c>
      <c r="AO174" t="e">
        <f t="shared" si="107"/>
        <v>#NUM!</v>
      </c>
      <c r="AP174" t="e">
        <f t="shared" si="108"/>
        <v>#NUM!</v>
      </c>
      <c r="AQ174" t="e">
        <f t="shared" si="109"/>
        <v>#NUM!</v>
      </c>
      <c r="AR174" t="e">
        <f t="shared" si="110"/>
        <v>#NUM!</v>
      </c>
      <c r="AS174" t="e">
        <f t="shared" si="111"/>
        <v>#NUM!</v>
      </c>
      <c r="AT174" t="e">
        <f t="shared" si="112"/>
        <v>#NUM!</v>
      </c>
      <c r="AU174" t="e">
        <f t="shared" si="113"/>
        <v>#NUM!</v>
      </c>
      <c r="AV174" t="e">
        <f t="shared" si="114"/>
        <v>#NUM!</v>
      </c>
      <c r="AW174" t="e">
        <f t="shared" si="115"/>
        <v>#NUM!</v>
      </c>
      <c r="AX174" t="e">
        <f t="shared" si="116"/>
        <v>#NUM!</v>
      </c>
      <c r="AY174" t="e">
        <f t="shared" si="117"/>
        <v>#NUM!</v>
      </c>
      <c r="AZ174" t="e">
        <f t="shared" si="118"/>
        <v>#NUM!</v>
      </c>
      <c r="BA174" t="e">
        <f t="shared" si="119"/>
        <v>#NUM!</v>
      </c>
      <c r="BB174" t="e">
        <f t="shared" si="120"/>
        <v>#NUM!</v>
      </c>
      <c r="BC174" t="e">
        <f t="shared" si="121"/>
        <v>#NUM!</v>
      </c>
      <c r="BD174" t="str">
        <f t="shared" si="122"/>
        <v>C01494</v>
      </c>
    </row>
    <row r="175" spans="1:56" x14ac:dyDescent="0.2">
      <c r="A175" t="s">
        <v>267</v>
      </c>
      <c r="R175" s="2" t="s">
        <v>401</v>
      </c>
      <c r="S175" s="4" t="s">
        <v>422</v>
      </c>
      <c r="T175" t="e">
        <f t="shared" si="87"/>
        <v>#NUM!</v>
      </c>
      <c r="U175" t="e">
        <f t="shared" si="88"/>
        <v>#NUM!</v>
      </c>
      <c r="V175" t="e">
        <f t="shared" si="89"/>
        <v>#NUM!</v>
      </c>
      <c r="W175" t="e">
        <f t="shared" si="90"/>
        <v>#NUM!</v>
      </c>
      <c r="X175" t="e">
        <f t="shared" si="91"/>
        <v>#NUM!</v>
      </c>
      <c r="Y175" t="e">
        <f t="shared" si="92"/>
        <v>#NUM!</v>
      </c>
      <c r="Z175" t="e">
        <f t="shared" si="93"/>
        <v>#NUM!</v>
      </c>
      <c r="AA175" t="e">
        <f t="shared" si="94"/>
        <v>#NUM!</v>
      </c>
      <c r="AB175" t="e">
        <f t="shared" si="95"/>
        <v>#NUM!</v>
      </c>
      <c r="AC175" t="e">
        <f t="shared" si="96"/>
        <v>#NUM!</v>
      </c>
      <c r="AD175" t="e">
        <f t="shared" si="97"/>
        <v>#NUM!</v>
      </c>
      <c r="AE175" t="e">
        <f t="shared" si="98"/>
        <v>#NUM!</v>
      </c>
      <c r="AF175" t="e">
        <f t="shared" si="99"/>
        <v>#NUM!</v>
      </c>
      <c r="AG175" t="e">
        <f t="shared" si="100"/>
        <v>#NUM!</v>
      </c>
      <c r="AH175" t="e">
        <f t="shared" si="101"/>
        <v>#NUM!</v>
      </c>
      <c r="AI175" t="e">
        <f t="shared" si="102"/>
        <v>#NUM!</v>
      </c>
      <c r="AJ175" t="str">
        <f t="shared" si="103"/>
        <v>C15587</v>
      </c>
      <c r="AL175" t="e">
        <f t="shared" si="104"/>
        <v>#NUM!</v>
      </c>
      <c r="AM175" t="e">
        <f t="shared" si="105"/>
        <v>#NUM!</v>
      </c>
      <c r="AN175" t="e">
        <f t="shared" si="106"/>
        <v>#NUM!</v>
      </c>
      <c r="AO175" t="e">
        <f t="shared" si="107"/>
        <v>#NUM!</v>
      </c>
      <c r="AP175" t="e">
        <f t="shared" si="108"/>
        <v>#NUM!</v>
      </c>
      <c r="AQ175" t="e">
        <f t="shared" si="109"/>
        <v>#NUM!</v>
      </c>
      <c r="AR175" t="e">
        <f t="shared" si="110"/>
        <v>#NUM!</v>
      </c>
      <c r="AS175" t="e">
        <f t="shared" si="111"/>
        <v>#NUM!</v>
      </c>
      <c r="AT175" t="e">
        <f t="shared" si="112"/>
        <v>#NUM!</v>
      </c>
      <c r="AU175" t="e">
        <f t="shared" si="113"/>
        <v>#NUM!</v>
      </c>
      <c r="AV175" t="e">
        <f t="shared" si="114"/>
        <v>#NUM!</v>
      </c>
      <c r="AW175" t="e">
        <f t="shared" si="115"/>
        <v>#NUM!</v>
      </c>
      <c r="AX175" t="e">
        <f t="shared" si="116"/>
        <v>#NUM!</v>
      </c>
      <c r="AY175" t="e">
        <f t="shared" si="117"/>
        <v>#NUM!</v>
      </c>
      <c r="AZ175" t="e">
        <f t="shared" si="118"/>
        <v>#NUM!</v>
      </c>
      <c r="BA175" t="e">
        <f t="shared" si="119"/>
        <v>#NUM!</v>
      </c>
      <c r="BB175" t="e">
        <f t="shared" si="120"/>
        <v>#NUM!</v>
      </c>
      <c r="BC175" t="e">
        <f t="shared" si="121"/>
        <v>#NUM!</v>
      </c>
      <c r="BD175" t="str">
        <f t="shared" si="122"/>
        <v>C15587</v>
      </c>
    </row>
    <row r="176" spans="1:56" x14ac:dyDescent="0.2">
      <c r="A176" t="s">
        <v>33</v>
      </c>
      <c r="B176">
        <v>247068416</v>
      </c>
      <c r="C176">
        <v>185455376</v>
      </c>
      <c r="D176">
        <v>306227040</v>
      </c>
      <c r="E176">
        <v>183205568</v>
      </c>
      <c r="F176">
        <v>279038048</v>
      </c>
      <c r="G176">
        <v>191790000</v>
      </c>
      <c r="H176">
        <v>187810352</v>
      </c>
      <c r="I176">
        <v>197206816</v>
      </c>
      <c r="J176">
        <v>362106624</v>
      </c>
      <c r="K176">
        <v>287566656</v>
      </c>
      <c r="L176">
        <v>286270752</v>
      </c>
      <c r="M176">
        <v>352339072</v>
      </c>
      <c r="N176">
        <v>343303360</v>
      </c>
      <c r="O176">
        <v>340450528</v>
      </c>
      <c r="P176">
        <v>387236096</v>
      </c>
      <c r="Q176">
        <v>382487744</v>
      </c>
      <c r="R176" s="2" t="s">
        <v>34</v>
      </c>
      <c r="S176" s="4" t="s">
        <v>422</v>
      </c>
      <c r="T176">
        <f t="shared" si="87"/>
        <v>8.392817230899368</v>
      </c>
      <c r="U176">
        <f t="shared" si="88"/>
        <v>8.2682394272213511</v>
      </c>
      <c r="V176">
        <f t="shared" si="89"/>
        <v>8.486043536474277</v>
      </c>
      <c r="W176">
        <f t="shared" si="90"/>
        <v>8.2629386686491273</v>
      </c>
      <c r="X176">
        <f t="shared" si="91"/>
        <v>8.4456634251726506</v>
      </c>
      <c r="Y176">
        <f t="shared" si="92"/>
        <v>8.2828259591535272</v>
      </c>
      <c r="Z176">
        <f t="shared" si="93"/>
        <v>8.273719526655178</v>
      </c>
      <c r="AA176">
        <f t="shared" si="94"/>
        <v>8.2949219212544456</v>
      </c>
      <c r="AB176">
        <f t="shared" si="95"/>
        <v>8.5588364694188783</v>
      </c>
      <c r="AC176">
        <f t="shared" si="96"/>
        <v>8.4587385272089985</v>
      </c>
      <c r="AD176">
        <f t="shared" si="97"/>
        <v>8.456776978849847</v>
      </c>
      <c r="AE176">
        <f t="shared" si="98"/>
        <v>8.5469608061477551</v>
      </c>
      <c r="AF176">
        <f t="shared" si="99"/>
        <v>8.5356780540005186</v>
      </c>
      <c r="AG176">
        <f t="shared" si="100"/>
        <v>8.5320540120561699</v>
      </c>
      <c r="AH176">
        <f t="shared" si="101"/>
        <v>8.5879758330448457</v>
      </c>
      <c r="AI176">
        <f t="shared" si="102"/>
        <v>8.5826175236767028</v>
      </c>
      <c r="AJ176" t="str">
        <f t="shared" si="103"/>
        <v>C00170</v>
      </c>
      <c r="AL176">
        <f t="shared" si="104"/>
        <v>8.4354254937427271</v>
      </c>
      <c r="AM176">
        <f t="shared" si="105"/>
        <v>0.12229924153922095</v>
      </c>
      <c r="AN176">
        <f t="shared" si="106"/>
        <v>-0.34839351664903606</v>
      </c>
      <c r="AO176">
        <f t="shared" si="107"/>
        <v>-1.3670245572844377</v>
      </c>
      <c r="AP176">
        <f t="shared" si="108"/>
        <v>0.4138868082457966</v>
      </c>
      <c r="AQ176">
        <f t="shared" si="109"/>
        <v>-1.410367087503841</v>
      </c>
      <c r="AR176">
        <f t="shared" si="110"/>
        <v>8.3712141637772908E-2</v>
      </c>
      <c r="AS176">
        <f t="shared" si="111"/>
        <v>-1.2477553635544159</v>
      </c>
      <c r="AT176">
        <f t="shared" si="112"/>
        <v>-1.3222156168130494</v>
      </c>
      <c r="AU176">
        <f t="shared" si="113"/>
        <v>-1.1488507264636019</v>
      </c>
      <c r="AV176">
        <f t="shared" si="114"/>
        <v>1.0090902782628766</v>
      </c>
      <c r="AW176">
        <f t="shared" si="115"/>
        <v>0.19062287854659377</v>
      </c>
      <c r="AX176">
        <f t="shared" si="116"/>
        <v>0.1745839535748272</v>
      </c>
      <c r="AY176">
        <f t="shared" si="117"/>
        <v>0.91198695103320826</v>
      </c>
      <c r="AZ176">
        <f t="shared" si="118"/>
        <v>0.8197316597882649</v>
      </c>
      <c r="BA176">
        <f t="shared" si="119"/>
        <v>0.79009908072450585</v>
      </c>
      <c r="BB176">
        <f t="shared" si="120"/>
        <v>1.2473531101433382</v>
      </c>
      <c r="BC176">
        <f t="shared" si="121"/>
        <v>1.2035400063112554</v>
      </c>
      <c r="BD176" t="str">
        <f t="shared" si="122"/>
        <v>C00170</v>
      </c>
    </row>
    <row r="177" spans="1:56" x14ac:dyDescent="0.2">
      <c r="A177" t="s">
        <v>37</v>
      </c>
      <c r="B177">
        <v>47715.394529999998</v>
      </c>
      <c r="C177">
        <v>46083.222659999999</v>
      </c>
      <c r="D177">
        <v>77536.125</v>
      </c>
      <c r="E177">
        <v>135623.125</v>
      </c>
      <c r="F177">
        <v>60066.023439999997</v>
      </c>
      <c r="G177">
        <v>30738.433590000001</v>
      </c>
      <c r="H177">
        <v>38245.222659999999</v>
      </c>
      <c r="I177">
        <v>47838.5</v>
      </c>
      <c r="J177">
        <v>115379.4062</v>
      </c>
      <c r="K177">
        <v>86944.804690000004</v>
      </c>
      <c r="L177">
        <v>106599.35159999999</v>
      </c>
      <c r="M177">
        <v>124285.47659999999</v>
      </c>
      <c r="N177">
        <v>56285.777340000001</v>
      </c>
      <c r="O177">
        <v>85978.585940000004</v>
      </c>
      <c r="P177">
        <v>64060.003909999999</v>
      </c>
      <c r="Q177">
        <v>32048.439450000002</v>
      </c>
      <c r="R177" s="2" t="s">
        <v>38</v>
      </c>
      <c r="S177" s="4" t="s">
        <v>422</v>
      </c>
      <c r="T177">
        <f t="shared" si="87"/>
        <v>4.6786585190986747</v>
      </c>
      <c r="U177">
        <f t="shared" si="88"/>
        <v>4.6635428422579626</v>
      </c>
      <c r="V177">
        <f t="shared" si="89"/>
        <v>4.8895040926065878</v>
      </c>
      <c r="W177">
        <f t="shared" si="90"/>
        <v>5.1323337470799233</v>
      </c>
      <c r="X177">
        <f t="shared" si="91"/>
        <v>4.7786288812360178</v>
      </c>
      <c r="Y177">
        <f t="shared" si="92"/>
        <v>4.4876817323715175</v>
      </c>
      <c r="Z177">
        <f t="shared" si="93"/>
        <v>4.5825771936862845</v>
      </c>
      <c r="AA177">
        <f t="shared" si="94"/>
        <v>4.6797775536740023</v>
      </c>
      <c r="AB177">
        <f t="shared" si="95"/>
        <v>5.0621282995317527</v>
      </c>
      <c r="AC177">
        <f t="shared" si="96"/>
        <v>4.9392436362309118</v>
      </c>
      <c r="AD177">
        <f t="shared" si="97"/>
        <v>5.027754563063926</v>
      </c>
      <c r="AE177">
        <f t="shared" si="98"/>
        <v>5.0944203820528102</v>
      </c>
      <c r="AF177">
        <f t="shared" si="99"/>
        <v>4.7503986683310915</v>
      </c>
      <c r="AG177">
        <f t="shared" si="100"/>
        <v>4.9343902981489212</v>
      </c>
      <c r="AH177">
        <f t="shared" si="101"/>
        <v>4.80658696083563</v>
      </c>
      <c r="AI177">
        <f t="shared" si="102"/>
        <v>4.5058068870606336</v>
      </c>
      <c r="AJ177" t="str">
        <f t="shared" si="103"/>
        <v>C00632</v>
      </c>
      <c r="AL177">
        <f t="shared" si="104"/>
        <v>4.8133396410791658</v>
      </c>
      <c r="AM177">
        <f t="shared" si="105"/>
        <v>0.20695393577061613</v>
      </c>
      <c r="AN177">
        <f t="shared" si="106"/>
        <v>-0.65077825883808815</v>
      </c>
      <c r="AO177">
        <f t="shared" si="107"/>
        <v>-0.72381710578935399</v>
      </c>
      <c r="AP177">
        <f t="shared" si="108"/>
        <v>0.36802610805064018</v>
      </c>
      <c r="AQ177">
        <f t="shared" si="109"/>
        <v>1.5413773350719195</v>
      </c>
      <c r="AR177">
        <f t="shared" si="110"/>
        <v>-0.16772215379185024</v>
      </c>
      <c r="AS177">
        <f t="shared" si="111"/>
        <v>-1.5735767841042727</v>
      </c>
      <c r="AT177">
        <f t="shared" si="112"/>
        <v>-1.1150425650694273</v>
      </c>
      <c r="AU177">
        <f t="shared" si="113"/>
        <v>-0.64537109143554161</v>
      </c>
      <c r="AV177">
        <f t="shared" si="114"/>
        <v>1.2021450934295814</v>
      </c>
      <c r="AW177">
        <f t="shared" si="115"/>
        <v>0.60836724212529891</v>
      </c>
      <c r="AX177">
        <f t="shared" si="116"/>
        <v>1.0360514342786584</v>
      </c>
      <c r="AY177">
        <f t="shared" si="117"/>
        <v>1.3581802149691373</v>
      </c>
      <c r="AZ177">
        <f t="shared" si="118"/>
        <v>-0.30413034917024678</v>
      </c>
      <c r="BA177">
        <f t="shared" si="119"/>
        <v>0.58491594575870087</v>
      </c>
      <c r="BB177">
        <f t="shared" si="120"/>
        <v>-3.2628904680606599E-2</v>
      </c>
      <c r="BC177">
        <f t="shared" si="121"/>
        <v>-1.4859961608045751</v>
      </c>
      <c r="BD177" t="str">
        <f t="shared" si="122"/>
        <v>C00632</v>
      </c>
    </row>
    <row r="178" spans="1:56" x14ac:dyDescent="0.2">
      <c r="A178" t="s">
        <v>37</v>
      </c>
      <c r="B178">
        <v>117800.4531</v>
      </c>
      <c r="C178">
        <v>52331.316409999999</v>
      </c>
      <c r="D178">
        <v>156170.5938</v>
      </c>
      <c r="E178">
        <v>80012.3125</v>
      </c>
      <c r="F178">
        <v>142114.51560000001</v>
      </c>
      <c r="G178">
        <v>93453.210940000004</v>
      </c>
      <c r="H178">
        <v>63428.863279999998</v>
      </c>
      <c r="I178">
        <v>121345.13280000001</v>
      </c>
      <c r="J178">
        <v>72854.726559999996</v>
      </c>
      <c r="L178">
        <v>65011.257810000003</v>
      </c>
      <c r="M178">
        <v>110270.9375</v>
      </c>
      <c r="N178">
        <v>94052.390620000006</v>
      </c>
      <c r="O178">
        <v>150049.7188</v>
      </c>
      <c r="P178">
        <v>94500.148440000004</v>
      </c>
      <c r="Q178">
        <v>52696.84375</v>
      </c>
      <c r="R178" s="2" t="s">
        <v>38</v>
      </c>
      <c r="S178" s="4" t="s">
        <v>422</v>
      </c>
      <c r="T178">
        <f t="shared" si="87"/>
        <v>5.07114696089634</v>
      </c>
      <c r="U178">
        <f t="shared" si="88"/>
        <v>4.7187616596853577</v>
      </c>
      <c r="V178">
        <f t="shared" si="89"/>
        <v>5.1935992615984281</v>
      </c>
      <c r="W178">
        <f t="shared" si="90"/>
        <v>4.9031568224839805</v>
      </c>
      <c r="X178">
        <f t="shared" si="91"/>
        <v>5.1526384391028568</v>
      </c>
      <c r="Y178">
        <f t="shared" si="92"/>
        <v>4.9705942278075943</v>
      </c>
      <c r="Z178">
        <f t="shared" si="93"/>
        <v>4.8022869283981411</v>
      </c>
      <c r="AA178">
        <f t="shared" si="94"/>
        <v>5.0840223612984081</v>
      </c>
      <c r="AB178">
        <f t="shared" si="95"/>
        <v>4.8624577325279486</v>
      </c>
      <c r="AC178" t="e">
        <f t="shared" si="96"/>
        <v>#NUM!</v>
      </c>
      <c r="AD178">
        <f t="shared" si="97"/>
        <v>4.8129885686645819</v>
      </c>
      <c r="AE178">
        <f t="shared" si="98"/>
        <v>5.042461066869107</v>
      </c>
      <c r="AF178">
        <f t="shared" si="99"/>
        <v>4.9733698389069119</v>
      </c>
      <c r="AG178">
        <f t="shared" si="100"/>
        <v>5.176235185874015</v>
      </c>
      <c r="AH178">
        <f t="shared" si="101"/>
        <v>4.9754324906957423</v>
      </c>
      <c r="AI178">
        <f t="shared" si="102"/>
        <v>4.7217846041497831</v>
      </c>
      <c r="AJ178" t="str">
        <f t="shared" si="103"/>
        <v>C00632</v>
      </c>
      <c r="AL178" t="e">
        <f t="shared" si="104"/>
        <v>#NUM!</v>
      </c>
      <c r="AM178" t="e">
        <f t="shared" si="105"/>
        <v>#NUM!</v>
      </c>
      <c r="AN178" t="e">
        <f t="shared" si="106"/>
        <v>#NUM!</v>
      </c>
      <c r="AO178" t="e">
        <f t="shared" si="107"/>
        <v>#NUM!</v>
      </c>
      <c r="AP178" t="e">
        <f t="shared" si="108"/>
        <v>#NUM!</v>
      </c>
      <c r="AQ178" t="e">
        <f t="shared" si="109"/>
        <v>#NUM!</v>
      </c>
      <c r="AR178" t="e">
        <f t="shared" si="110"/>
        <v>#NUM!</v>
      </c>
      <c r="AS178" t="e">
        <f t="shared" si="111"/>
        <v>#NUM!</v>
      </c>
      <c r="AT178" t="e">
        <f t="shared" si="112"/>
        <v>#NUM!</v>
      </c>
      <c r="AU178" t="e">
        <f t="shared" si="113"/>
        <v>#NUM!</v>
      </c>
      <c r="AV178" t="e">
        <f t="shared" si="114"/>
        <v>#NUM!</v>
      </c>
      <c r="AW178" t="e">
        <f t="shared" si="115"/>
        <v>#NUM!</v>
      </c>
      <c r="AX178" t="e">
        <f t="shared" si="116"/>
        <v>#NUM!</v>
      </c>
      <c r="AY178" t="e">
        <f t="shared" si="117"/>
        <v>#NUM!</v>
      </c>
      <c r="AZ178" t="e">
        <f t="shared" si="118"/>
        <v>#NUM!</v>
      </c>
      <c r="BA178" t="e">
        <f t="shared" si="119"/>
        <v>#NUM!</v>
      </c>
      <c r="BB178" t="e">
        <f t="shared" si="120"/>
        <v>#NUM!</v>
      </c>
      <c r="BC178" t="e">
        <f t="shared" si="121"/>
        <v>#NUM!</v>
      </c>
      <c r="BD178" t="str">
        <f t="shared" si="122"/>
        <v>C00632</v>
      </c>
    </row>
    <row r="179" spans="1:56" x14ac:dyDescent="0.2">
      <c r="A179" t="s">
        <v>269</v>
      </c>
      <c r="B179">
        <v>2197252.5</v>
      </c>
      <c r="C179">
        <v>2973769</v>
      </c>
      <c r="D179">
        <v>3443819.25</v>
      </c>
      <c r="E179">
        <v>1533252.875</v>
      </c>
      <c r="F179">
        <v>3761930.75</v>
      </c>
      <c r="G179">
        <v>1375030.75</v>
      </c>
      <c r="H179">
        <v>2835605</v>
      </c>
      <c r="I179">
        <v>2403346</v>
      </c>
      <c r="J179">
        <v>3669948.25</v>
      </c>
      <c r="K179">
        <v>1526268.75</v>
      </c>
      <c r="L179">
        <v>2837706</v>
      </c>
      <c r="M179">
        <v>3255380</v>
      </c>
      <c r="N179">
        <v>2424099.25</v>
      </c>
      <c r="O179">
        <v>2454309</v>
      </c>
      <c r="P179">
        <v>2220258</v>
      </c>
      <c r="Q179">
        <v>1824865.125</v>
      </c>
      <c r="R179" s="2" t="s">
        <v>270</v>
      </c>
      <c r="S179" s="4" t="s">
        <v>422</v>
      </c>
      <c r="T179">
        <f t="shared" si="87"/>
        <v>6.3418799672780972</v>
      </c>
      <c r="U179">
        <f t="shared" si="88"/>
        <v>6.4733072298477756</v>
      </c>
      <c r="V179">
        <f t="shared" si="89"/>
        <v>6.5370403492892875</v>
      </c>
      <c r="W179">
        <f t="shared" si="90"/>
        <v>6.1856137877051784</v>
      </c>
      <c r="X179">
        <f t="shared" si="91"/>
        <v>6.5754107967513935</v>
      </c>
      <c r="Y179">
        <f t="shared" si="92"/>
        <v>6.1383124104615492</v>
      </c>
      <c r="Z179">
        <f t="shared" si="93"/>
        <v>6.4526457334687137</v>
      </c>
      <c r="AA179">
        <f t="shared" si="94"/>
        <v>6.3808162989244304</v>
      </c>
      <c r="AB179">
        <f t="shared" si="95"/>
        <v>6.5646599403017092</v>
      </c>
      <c r="AC179">
        <f t="shared" si="96"/>
        <v>6.1836310122332128</v>
      </c>
      <c r="AD179">
        <f t="shared" si="97"/>
        <v>6.4529673984534792</v>
      </c>
      <c r="AE179">
        <f t="shared" si="98"/>
        <v>6.5126016909904392</v>
      </c>
      <c r="AF179">
        <f t="shared" si="99"/>
        <v>6.3845503971959472</v>
      </c>
      <c r="AG179">
        <f t="shared" si="100"/>
        <v>6.3899292399503924</v>
      </c>
      <c r="AH179">
        <f t="shared" si="101"/>
        <v>6.3464034435794403</v>
      </c>
      <c r="AI179">
        <f t="shared" si="102"/>
        <v>6.2612307714594317</v>
      </c>
      <c r="AJ179" t="str">
        <f t="shared" si="103"/>
        <v>C01996</v>
      </c>
      <c r="AL179">
        <f t="shared" si="104"/>
        <v>6.3863125292431553</v>
      </c>
      <c r="AM179">
        <f t="shared" si="105"/>
        <v>0.1377842503324663</v>
      </c>
      <c r="AN179">
        <f t="shared" si="106"/>
        <v>-0.32247925185821014</v>
      </c>
      <c r="AO179">
        <f t="shared" si="107"/>
        <v>0.63138348827755419</v>
      </c>
      <c r="AP179">
        <f t="shared" si="108"/>
        <v>1.0939408508768869</v>
      </c>
      <c r="AQ179">
        <f t="shared" si="109"/>
        <v>-1.4566159851630438</v>
      </c>
      <c r="AR179">
        <f t="shared" si="110"/>
        <v>1.3724229514763395</v>
      </c>
      <c r="AS179">
        <f t="shared" si="111"/>
        <v>-1.7999163052612659</v>
      </c>
      <c r="AT179">
        <f t="shared" si="112"/>
        <v>0.48142805919762116</v>
      </c>
      <c r="AU179">
        <f t="shared" si="113"/>
        <v>-3.9890120281982924E-2</v>
      </c>
      <c r="AV179">
        <f t="shared" si="114"/>
        <v>1.2943962073184039</v>
      </c>
      <c r="AW179">
        <f t="shared" si="115"/>
        <v>-1.4710064214224954</v>
      </c>
      <c r="AX179">
        <f t="shared" si="116"/>
        <v>0.48376261473636617</v>
      </c>
      <c r="AY179">
        <f t="shared" si="117"/>
        <v>0.91657182473725873</v>
      </c>
      <c r="AZ179">
        <f t="shared" si="118"/>
        <v>-1.2789067276964996E-2</v>
      </c>
      <c r="BA179">
        <f t="shared" si="119"/>
        <v>2.6249086513953433E-2</v>
      </c>
      <c r="BB179">
        <f t="shared" si="120"/>
        <v>-0.28964911132742976</v>
      </c>
      <c r="BC179">
        <f t="shared" si="121"/>
        <v>-0.90780882054304246</v>
      </c>
      <c r="BD179" t="str">
        <f t="shared" si="122"/>
        <v>C01996</v>
      </c>
    </row>
    <row r="180" spans="1:56" x14ac:dyDescent="0.2">
      <c r="A180" t="s">
        <v>40</v>
      </c>
      <c r="B180">
        <v>342982.65620000003</v>
      </c>
      <c r="C180">
        <v>273158.15620000003</v>
      </c>
      <c r="D180">
        <v>255236.57810000001</v>
      </c>
      <c r="E180">
        <v>180252.0625</v>
      </c>
      <c r="F180">
        <v>505467.5</v>
      </c>
      <c r="G180">
        <v>332253.3125</v>
      </c>
      <c r="H180">
        <v>559937.75</v>
      </c>
      <c r="I180">
        <v>630786.4375</v>
      </c>
      <c r="J180">
        <v>260975.70310000001</v>
      </c>
      <c r="K180">
        <v>172123.0312</v>
      </c>
      <c r="L180">
        <v>195981.8438</v>
      </c>
      <c r="M180">
        <v>235592.5625</v>
      </c>
      <c r="N180">
        <v>1318337.875</v>
      </c>
      <c r="O180">
        <v>856012.125</v>
      </c>
      <c r="P180">
        <v>1013223.375</v>
      </c>
      <c r="Q180">
        <v>1208290.75</v>
      </c>
      <c r="R180" s="2"/>
      <c r="S180" s="4" t="s">
        <v>422</v>
      </c>
      <c r="T180">
        <f t="shared" si="87"/>
        <v>5.535272159380737</v>
      </c>
      <c r="U180">
        <f t="shared" si="88"/>
        <v>5.4364141725964181</v>
      </c>
      <c r="V180">
        <f t="shared" si="89"/>
        <v>5.4069429134999165</v>
      </c>
      <c r="W180">
        <f t="shared" si="90"/>
        <v>5.2558802427520455</v>
      </c>
      <c r="X180">
        <f t="shared" si="91"/>
        <v>5.703693237030059</v>
      </c>
      <c r="Y180">
        <f t="shared" si="92"/>
        <v>5.5214693194666884</v>
      </c>
      <c r="Z180">
        <f t="shared" si="93"/>
        <v>5.7481397478379588</v>
      </c>
      <c r="AA180">
        <f t="shared" si="94"/>
        <v>5.7998823470185776</v>
      </c>
      <c r="AB180">
        <f t="shared" si="95"/>
        <v>5.4166000763008118</v>
      </c>
      <c r="AC180">
        <f t="shared" si="96"/>
        <v>5.2358389856898686</v>
      </c>
      <c r="AD180">
        <f t="shared" si="97"/>
        <v>5.2922158391997947</v>
      </c>
      <c r="AE180">
        <f t="shared" si="98"/>
        <v>5.3721615759444612</v>
      </c>
      <c r="AF180">
        <f t="shared" si="99"/>
        <v>6.120026729258691</v>
      </c>
      <c r="AG180">
        <f t="shared" si="100"/>
        <v>5.9324799162931567</v>
      </c>
      <c r="AH180">
        <f t="shared" si="101"/>
        <v>6.0057052003806648</v>
      </c>
      <c r="AI180">
        <f t="shared" si="102"/>
        <v>6.0821714507810878</v>
      </c>
      <c r="AJ180">
        <f t="shared" si="103"/>
        <v>0</v>
      </c>
      <c r="AL180">
        <f t="shared" si="104"/>
        <v>5.6165558695894342</v>
      </c>
      <c r="AM180">
        <f t="shared" si="105"/>
        <v>0.30022419742773215</v>
      </c>
      <c r="AN180">
        <f t="shared" si="106"/>
        <v>-0.27074336747378008</v>
      </c>
      <c r="AO180">
        <f t="shared" si="107"/>
        <v>-0.60002391058561666</v>
      </c>
      <c r="AP180">
        <f t="shared" si="108"/>
        <v>-0.69818808039273461</v>
      </c>
      <c r="AQ180">
        <f t="shared" si="109"/>
        <v>-1.2013542876543388</v>
      </c>
      <c r="AR180">
        <f t="shared" si="110"/>
        <v>0.29024098719291247</v>
      </c>
      <c r="AS180">
        <f t="shared" si="111"/>
        <v>-0.31671847551739851</v>
      </c>
      <c r="AT180">
        <f t="shared" si="112"/>
        <v>0.43828538597458827</v>
      </c>
      <c r="AU180">
        <f t="shared" si="113"/>
        <v>0.61063191774631187</v>
      </c>
      <c r="AV180">
        <f t="shared" si="114"/>
        <v>-0.66602157654782101</v>
      </c>
      <c r="AW180">
        <f t="shared" si="115"/>
        <v>-1.2681085907181384</v>
      </c>
      <c r="AX180">
        <f t="shared" si="116"/>
        <v>-1.0803260802044858</v>
      </c>
      <c r="AY180">
        <f t="shared" si="117"/>
        <v>-0.81403929376412731</v>
      </c>
      <c r="AZ180">
        <f t="shared" si="118"/>
        <v>1.6769829480198668</v>
      </c>
      <c r="BA180">
        <f t="shared" si="119"/>
        <v>1.0522937505054686</v>
      </c>
      <c r="BB180">
        <f t="shared" si="120"/>
        <v>1.2961957567890705</v>
      </c>
      <c r="BC180">
        <f t="shared" si="121"/>
        <v>1.5508929166301904</v>
      </c>
      <c r="BD180">
        <f t="shared" si="122"/>
        <v>0</v>
      </c>
    </row>
    <row r="181" spans="1:56" x14ac:dyDescent="0.2">
      <c r="A181" t="s">
        <v>271</v>
      </c>
      <c r="C181">
        <v>45507.113279999998</v>
      </c>
      <c r="E181">
        <v>43268.703119999998</v>
      </c>
      <c r="N181">
        <v>63881.542970000002</v>
      </c>
      <c r="P181">
        <v>73432.15625</v>
      </c>
      <c r="Q181">
        <v>72787.015620000006</v>
      </c>
      <c r="R181" s="2" t="s">
        <v>272</v>
      </c>
      <c r="S181" s="4" t="s">
        <v>422</v>
      </c>
      <c r="T181" t="e">
        <f t="shared" si="87"/>
        <v>#NUM!</v>
      </c>
      <c r="U181">
        <f t="shared" si="88"/>
        <v>4.6580792871361574</v>
      </c>
      <c r="V181" t="e">
        <f t="shared" si="89"/>
        <v>#NUM!</v>
      </c>
      <c r="W181">
        <f t="shared" si="90"/>
        <v>4.6361738784141542</v>
      </c>
      <c r="X181" t="e">
        <f t="shared" si="91"/>
        <v>#NUM!</v>
      </c>
      <c r="Y181" t="e">
        <f t="shared" si="92"/>
        <v>#NUM!</v>
      </c>
      <c r="Z181" t="e">
        <f t="shared" si="93"/>
        <v>#NUM!</v>
      </c>
      <c r="AA181" t="e">
        <f t="shared" si="94"/>
        <v>#NUM!</v>
      </c>
      <c r="AB181" t="e">
        <f t="shared" si="95"/>
        <v>#NUM!</v>
      </c>
      <c r="AC181" t="e">
        <f t="shared" si="96"/>
        <v>#NUM!</v>
      </c>
      <c r="AD181" t="e">
        <f t="shared" si="97"/>
        <v>#NUM!</v>
      </c>
      <c r="AE181" t="e">
        <f t="shared" si="98"/>
        <v>#NUM!</v>
      </c>
      <c r="AF181">
        <f t="shared" si="99"/>
        <v>4.8053753973735205</v>
      </c>
      <c r="AG181" t="e">
        <f t="shared" si="100"/>
        <v>#NUM!</v>
      </c>
      <c r="AH181">
        <f t="shared" si="101"/>
        <v>4.8658862809482155</v>
      </c>
      <c r="AI181">
        <f t="shared" si="102"/>
        <v>4.8620539130008682</v>
      </c>
      <c r="AJ181" t="str">
        <f t="shared" si="103"/>
        <v>C02670</v>
      </c>
      <c r="AL181" t="e">
        <f t="shared" si="104"/>
        <v>#NUM!</v>
      </c>
      <c r="AM181" t="e">
        <f t="shared" si="105"/>
        <v>#NUM!</v>
      </c>
      <c r="AN181" t="e">
        <f t="shared" si="106"/>
        <v>#NUM!</v>
      </c>
      <c r="AO181" t="e">
        <f t="shared" si="107"/>
        <v>#NUM!</v>
      </c>
      <c r="AP181" t="e">
        <f t="shared" si="108"/>
        <v>#NUM!</v>
      </c>
      <c r="AQ181" t="e">
        <f t="shared" si="109"/>
        <v>#NUM!</v>
      </c>
      <c r="AR181" t="e">
        <f t="shared" si="110"/>
        <v>#NUM!</v>
      </c>
      <c r="AS181" t="e">
        <f t="shared" si="111"/>
        <v>#NUM!</v>
      </c>
      <c r="AT181" t="e">
        <f t="shared" si="112"/>
        <v>#NUM!</v>
      </c>
      <c r="AU181" t="e">
        <f t="shared" si="113"/>
        <v>#NUM!</v>
      </c>
      <c r="AV181" t="e">
        <f t="shared" si="114"/>
        <v>#NUM!</v>
      </c>
      <c r="AW181" t="e">
        <f t="shared" si="115"/>
        <v>#NUM!</v>
      </c>
      <c r="AX181" t="e">
        <f t="shared" si="116"/>
        <v>#NUM!</v>
      </c>
      <c r="AY181" t="e">
        <f t="shared" si="117"/>
        <v>#NUM!</v>
      </c>
      <c r="AZ181" t="e">
        <f t="shared" si="118"/>
        <v>#NUM!</v>
      </c>
      <c r="BA181" t="e">
        <f t="shared" si="119"/>
        <v>#NUM!</v>
      </c>
      <c r="BB181" t="e">
        <f t="shared" si="120"/>
        <v>#NUM!</v>
      </c>
      <c r="BC181" t="e">
        <f t="shared" si="121"/>
        <v>#NUM!</v>
      </c>
      <c r="BD181" t="str">
        <f t="shared" si="122"/>
        <v>C02670</v>
      </c>
    </row>
    <row r="182" spans="1:56" x14ac:dyDescent="0.2">
      <c r="A182" t="s">
        <v>41</v>
      </c>
      <c r="J182">
        <v>50254.8125</v>
      </c>
      <c r="R182" s="2" t="s">
        <v>42</v>
      </c>
      <c r="S182" s="4" t="s">
        <v>422</v>
      </c>
      <c r="T182" t="e">
        <f t="shared" si="87"/>
        <v>#NUM!</v>
      </c>
      <c r="U182" t="e">
        <f t="shared" si="88"/>
        <v>#NUM!</v>
      </c>
      <c r="V182" t="e">
        <f t="shared" si="89"/>
        <v>#NUM!</v>
      </c>
      <c r="W182" t="e">
        <f t="shared" si="90"/>
        <v>#NUM!</v>
      </c>
      <c r="X182" t="e">
        <f t="shared" si="91"/>
        <v>#NUM!</v>
      </c>
      <c r="Y182" t="e">
        <f t="shared" si="92"/>
        <v>#NUM!</v>
      </c>
      <c r="Z182" t="e">
        <f t="shared" si="93"/>
        <v>#NUM!</v>
      </c>
      <c r="AA182" t="e">
        <f t="shared" si="94"/>
        <v>#NUM!</v>
      </c>
      <c r="AB182">
        <f t="shared" si="95"/>
        <v>4.7011776569804402</v>
      </c>
      <c r="AC182" t="e">
        <f t="shared" si="96"/>
        <v>#NUM!</v>
      </c>
      <c r="AD182" t="e">
        <f t="shared" si="97"/>
        <v>#NUM!</v>
      </c>
      <c r="AE182" t="e">
        <f t="shared" si="98"/>
        <v>#NUM!</v>
      </c>
      <c r="AF182" t="e">
        <f t="shared" si="99"/>
        <v>#NUM!</v>
      </c>
      <c r="AG182" t="e">
        <f t="shared" si="100"/>
        <v>#NUM!</v>
      </c>
      <c r="AH182" t="e">
        <f t="shared" si="101"/>
        <v>#NUM!</v>
      </c>
      <c r="AI182" t="e">
        <f t="shared" si="102"/>
        <v>#NUM!</v>
      </c>
      <c r="AJ182" t="str">
        <f t="shared" si="103"/>
        <v>C00695</v>
      </c>
      <c r="AL182" t="e">
        <f t="shared" si="104"/>
        <v>#NUM!</v>
      </c>
      <c r="AM182" t="e">
        <f t="shared" si="105"/>
        <v>#NUM!</v>
      </c>
      <c r="AN182" t="e">
        <f t="shared" si="106"/>
        <v>#NUM!</v>
      </c>
      <c r="AO182" t="e">
        <f t="shared" si="107"/>
        <v>#NUM!</v>
      </c>
      <c r="AP182" t="e">
        <f t="shared" si="108"/>
        <v>#NUM!</v>
      </c>
      <c r="AQ182" t="e">
        <f t="shared" si="109"/>
        <v>#NUM!</v>
      </c>
      <c r="AR182" t="e">
        <f t="shared" si="110"/>
        <v>#NUM!</v>
      </c>
      <c r="AS182" t="e">
        <f t="shared" si="111"/>
        <v>#NUM!</v>
      </c>
      <c r="AT182" t="e">
        <f t="shared" si="112"/>
        <v>#NUM!</v>
      </c>
      <c r="AU182" t="e">
        <f t="shared" si="113"/>
        <v>#NUM!</v>
      </c>
      <c r="AV182" t="e">
        <f t="shared" si="114"/>
        <v>#NUM!</v>
      </c>
      <c r="AW182" t="e">
        <f t="shared" si="115"/>
        <v>#NUM!</v>
      </c>
      <c r="AX182" t="e">
        <f t="shared" si="116"/>
        <v>#NUM!</v>
      </c>
      <c r="AY182" t="e">
        <f t="shared" si="117"/>
        <v>#NUM!</v>
      </c>
      <c r="AZ182" t="e">
        <f t="shared" si="118"/>
        <v>#NUM!</v>
      </c>
      <c r="BA182" t="e">
        <f t="shared" si="119"/>
        <v>#NUM!</v>
      </c>
      <c r="BB182" t="e">
        <f t="shared" si="120"/>
        <v>#NUM!</v>
      </c>
      <c r="BC182" t="e">
        <f t="shared" si="121"/>
        <v>#NUM!</v>
      </c>
      <c r="BD182" t="str">
        <f t="shared" si="122"/>
        <v>C00695</v>
      </c>
    </row>
    <row r="183" spans="1:56" x14ac:dyDescent="0.2">
      <c r="A183" t="s">
        <v>273</v>
      </c>
      <c r="B183">
        <v>1676932.125</v>
      </c>
      <c r="C183">
        <v>1134175.5</v>
      </c>
      <c r="D183">
        <v>1314862.25</v>
      </c>
      <c r="E183">
        <v>1949616</v>
      </c>
      <c r="F183">
        <v>575255.625</v>
      </c>
      <c r="G183">
        <v>382371.03120000003</v>
      </c>
      <c r="H183">
        <v>268081.75</v>
      </c>
      <c r="I183">
        <v>282306.4375</v>
      </c>
      <c r="J183">
        <v>3508843.25</v>
      </c>
      <c r="K183">
        <v>1256793.875</v>
      </c>
      <c r="L183">
        <v>1295041.375</v>
      </c>
      <c r="M183">
        <v>1580252.75</v>
      </c>
      <c r="N183">
        <v>1278573.625</v>
      </c>
      <c r="O183">
        <v>769120.875</v>
      </c>
      <c r="P183">
        <v>1020370.062</v>
      </c>
      <c r="Q183">
        <v>1565934.875</v>
      </c>
      <c r="R183" s="2" t="s">
        <v>274</v>
      </c>
      <c r="S183" s="4" t="s">
        <v>422</v>
      </c>
      <c r="T183">
        <f t="shared" si="87"/>
        <v>6.2245154845890811</v>
      </c>
      <c r="U183">
        <f t="shared" si="88"/>
        <v>6.0546802615977242</v>
      </c>
      <c r="V183">
        <f t="shared" si="89"/>
        <v>6.1188802568573575</v>
      </c>
      <c r="W183">
        <f t="shared" si="90"/>
        <v>6.2899490803350577</v>
      </c>
      <c r="X183">
        <f t="shared" si="91"/>
        <v>5.7598608740065078</v>
      </c>
      <c r="Y183">
        <f t="shared" si="92"/>
        <v>5.5824849822794045</v>
      </c>
      <c r="Z183">
        <f t="shared" si="93"/>
        <v>5.4282672498498306</v>
      </c>
      <c r="AA183">
        <f t="shared" si="94"/>
        <v>5.4507207815789087</v>
      </c>
      <c r="AB183">
        <f t="shared" si="95"/>
        <v>6.5451639674799882</v>
      </c>
      <c r="AC183">
        <f t="shared" si="96"/>
        <v>6.0992640554977164</v>
      </c>
      <c r="AD183">
        <f t="shared" si="97"/>
        <v>6.1122836438204695</v>
      </c>
      <c r="AE183">
        <f t="shared" si="98"/>
        <v>6.1987265547718531</v>
      </c>
      <c r="AF183">
        <f t="shared" si="99"/>
        <v>6.1067257413655573</v>
      </c>
      <c r="AG183">
        <f t="shared" si="100"/>
        <v>5.8859945988654117</v>
      </c>
      <c r="AH183">
        <f t="shared" si="101"/>
        <v>6.0087577077788561</v>
      </c>
      <c r="AI183">
        <f t="shared" si="102"/>
        <v>6.19477369640886</v>
      </c>
      <c r="AJ183" t="str">
        <f t="shared" si="103"/>
        <v>C00314</v>
      </c>
      <c r="AL183">
        <f t="shared" si="104"/>
        <v>6.0038155585676609</v>
      </c>
      <c r="AM183">
        <f t="shared" si="105"/>
        <v>0.30913824738453433</v>
      </c>
      <c r="AN183">
        <f t="shared" si="106"/>
        <v>0.71391983324177133</v>
      </c>
      <c r="AO183">
        <f t="shared" si="107"/>
        <v>0.16453707511252447</v>
      </c>
      <c r="AP183">
        <f t="shared" si="108"/>
        <v>0.3722111361606078</v>
      </c>
      <c r="AQ183">
        <f t="shared" si="109"/>
        <v>0.92558434353636565</v>
      </c>
      <c r="AR183">
        <f t="shared" si="110"/>
        <v>-0.78914429587775992</v>
      </c>
      <c r="AS183">
        <f t="shared" si="111"/>
        <v>-1.3629195994119974</v>
      </c>
      <c r="AT183">
        <f t="shared" si="112"/>
        <v>-1.8617829194131095</v>
      </c>
      <c r="AU183">
        <f t="shared" si="113"/>
        <v>-1.7891502642206627</v>
      </c>
      <c r="AV183">
        <f t="shared" si="114"/>
        <v>1.7511531280661909</v>
      </c>
      <c r="AW183">
        <f t="shared" si="115"/>
        <v>0.30875667355171355</v>
      </c>
      <c r="AX183">
        <f t="shared" si="116"/>
        <v>0.35087242090069209</v>
      </c>
      <c r="AY183">
        <f t="shared" si="117"/>
        <v>0.63049783665799242</v>
      </c>
      <c r="AZ183">
        <f t="shared" si="118"/>
        <v>0.33289372527847505</v>
      </c>
      <c r="BA183">
        <f t="shared" si="119"/>
        <v>-0.38112708698801934</v>
      </c>
      <c r="BB183">
        <f t="shared" si="120"/>
        <v>1.5986857831433856E-2</v>
      </c>
      <c r="BC183">
        <f t="shared" si="121"/>
        <v>0.61771113557381319</v>
      </c>
      <c r="BD183" t="str">
        <f t="shared" si="122"/>
        <v>C00314</v>
      </c>
    </row>
    <row r="184" spans="1:56" x14ac:dyDescent="0.2">
      <c r="A184" t="s">
        <v>48</v>
      </c>
      <c r="B184">
        <v>29136300</v>
      </c>
      <c r="C184">
        <v>8694389</v>
      </c>
      <c r="D184">
        <v>96853792</v>
      </c>
      <c r="E184">
        <v>18040578</v>
      </c>
      <c r="F184">
        <v>37385292</v>
      </c>
      <c r="G184">
        <v>37686024</v>
      </c>
      <c r="H184">
        <v>34565140</v>
      </c>
      <c r="I184">
        <v>59191036</v>
      </c>
      <c r="J184">
        <v>4828872.5</v>
      </c>
      <c r="K184">
        <v>1005917.562</v>
      </c>
      <c r="L184">
        <v>1275596.375</v>
      </c>
      <c r="M184">
        <v>1722170.125</v>
      </c>
      <c r="N184">
        <v>1554282.5</v>
      </c>
      <c r="O184">
        <v>3666480.5</v>
      </c>
      <c r="P184">
        <v>2732709.75</v>
      </c>
      <c r="Q184">
        <v>1866259.875</v>
      </c>
      <c r="R184" s="2" t="s">
        <v>353</v>
      </c>
      <c r="S184" s="4" t="s">
        <v>422</v>
      </c>
      <c r="T184">
        <f t="shared" si="87"/>
        <v>7.4644344001584857</v>
      </c>
      <c r="U184">
        <f t="shared" si="88"/>
        <v>6.9392390672758069</v>
      </c>
      <c r="V184">
        <f t="shared" si="89"/>
        <v>7.986116628797375</v>
      </c>
      <c r="W184">
        <f t="shared" si="90"/>
        <v>7.2562504477396956</v>
      </c>
      <c r="X184">
        <f t="shared" si="91"/>
        <v>7.5727007770782837</v>
      </c>
      <c r="Y184">
        <f t="shared" si="92"/>
        <v>7.5761803203642772</v>
      </c>
      <c r="Z184">
        <f t="shared" si="93"/>
        <v>7.538638320255175</v>
      </c>
      <c r="AA184">
        <f t="shared" si="94"/>
        <v>7.7722559413427907</v>
      </c>
      <c r="AB184">
        <f t="shared" si="95"/>
        <v>6.6838457385795849</v>
      </c>
      <c r="AC184">
        <f t="shared" si="96"/>
        <v>6.0025623904261556</v>
      </c>
      <c r="AD184">
        <f t="shared" si="97"/>
        <v>6.1057132763911364</v>
      </c>
      <c r="AE184">
        <f t="shared" si="98"/>
        <v>6.236076051124182</v>
      </c>
      <c r="AF184">
        <f t="shared" si="99"/>
        <v>6.1915299572196005</v>
      </c>
      <c r="AG184">
        <f t="shared" si="100"/>
        <v>6.5642493795634804</v>
      </c>
      <c r="AH184">
        <f t="shared" si="101"/>
        <v>6.4365935063112349</v>
      </c>
      <c r="AI184">
        <f t="shared" si="102"/>
        <v>6.2709721187353118</v>
      </c>
      <c r="AJ184" t="str">
        <f t="shared" si="103"/>
        <v>C00559</v>
      </c>
      <c r="AL184">
        <f t="shared" si="104"/>
        <v>6.912334895085162</v>
      </c>
      <c r="AM184">
        <f t="shared" si="105"/>
        <v>0.67584879862473612</v>
      </c>
      <c r="AN184">
        <f t="shared" si="106"/>
        <v>0.81689796030824346</v>
      </c>
      <c r="AO184">
        <f t="shared" si="107"/>
        <v>3.9807975164550653E-2</v>
      </c>
      <c r="AP184">
        <f t="shared" si="108"/>
        <v>1.588789883028894</v>
      </c>
      <c r="AQ184">
        <f t="shared" si="109"/>
        <v>0.50886463563204787</v>
      </c>
      <c r="AR184">
        <f t="shared" si="110"/>
        <v>0.97709115313496142</v>
      </c>
      <c r="AS184">
        <f t="shared" si="111"/>
        <v>0.98223955806380636</v>
      </c>
      <c r="AT184">
        <f t="shared" si="112"/>
        <v>0.92669163050146508</v>
      </c>
      <c r="AU184">
        <f t="shared" si="113"/>
        <v>1.272357142614525</v>
      </c>
      <c r="AV184">
        <f t="shared" si="114"/>
        <v>-0.33807732879088143</v>
      </c>
      <c r="AW184">
        <f t="shared" si="115"/>
        <v>-1.3461184017938248</v>
      </c>
      <c r="AX184">
        <f t="shared" si="116"/>
        <v>-1.1934941962394474</v>
      </c>
      <c r="AY184">
        <f t="shared" si="117"/>
        <v>-1.0006067116447914</v>
      </c>
      <c r="AZ184">
        <f t="shared" si="118"/>
        <v>-1.0665180426928407</v>
      </c>
      <c r="BA184">
        <f t="shared" si="119"/>
        <v>-0.51503459979508737</v>
      </c>
      <c r="BB184">
        <f t="shared" si="120"/>
        <v>-0.70391689641529065</v>
      </c>
      <c r="BC184">
        <f t="shared" si="121"/>
        <v>-0.94897376107635245</v>
      </c>
      <c r="BD184" t="str">
        <f t="shared" si="122"/>
        <v>C00559</v>
      </c>
    </row>
    <row r="185" spans="1:56" x14ac:dyDescent="0.2">
      <c r="A185" t="s">
        <v>50</v>
      </c>
      <c r="B185">
        <v>9568282</v>
      </c>
      <c r="C185">
        <v>3072888.5</v>
      </c>
      <c r="D185">
        <v>30664032</v>
      </c>
      <c r="E185">
        <v>6195725.5</v>
      </c>
      <c r="F185">
        <v>12928582</v>
      </c>
      <c r="G185">
        <v>12711164</v>
      </c>
      <c r="H185">
        <v>12419348</v>
      </c>
      <c r="I185">
        <v>19938450</v>
      </c>
      <c r="J185">
        <v>1953675.125</v>
      </c>
      <c r="K185">
        <v>608902.875</v>
      </c>
      <c r="L185">
        <v>568461.8125</v>
      </c>
      <c r="M185">
        <v>794802.5625</v>
      </c>
      <c r="N185">
        <v>788254.25</v>
      </c>
      <c r="O185">
        <v>1620984.875</v>
      </c>
      <c r="P185">
        <v>1195112.5</v>
      </c>
      <c r="Q185">
        <v>862304.6875</v>
      </c>
      <c r="R185" s="2" t="s">
        <v>268</v>
      </c>
      <c r="S185" s="4" t="s">
        <v>422</v>
      </c>
      <c r="T185">
        <f t="shared" si="87"/>
        <v>6.9808339665230061</v>
      </c>
      <c r="U185">
        <f t="shared" si="88"/>
        <v>6.4875468021329636</v>
      </c>
      <c r="V185">
        <f t="shared" si="89"/>
        <v>7.4866292594623198</v>
      </c>
      <c r="W185">
        <f t="shared" si="90"/>
        <v>6.7920921682098099</v>
      </c>
      <c r="X185">
        <f t="shared" si="91"/>
        <v>7.1115508943045214</v>
      </c>
      <c r="Y185">
        <f t="shared" si="92"/>
        <v>7.104185322043409</v>
      </c>
      <c r="Z185">
        <f t="shared" si="93"/>
        <v>7.0940987965301874</v>
      </c>
      <c r="AA185">
        <f t="shared" si="94"/>
        <v>7.2996913935638208</v>
      </c>
      <c r="AB185">
        <f t="shared" si="95"/>
        <v>6.2908523469210627</v>
      </c>
      <c r="AC185">
        <f t="shared" si="96"/>
        <v>5.7845480246271741</v>
      </c>
      <c r="AD185">
        <f t="shared" si="97"/>
        <v>5.754701295448438</v>
      </c>
      <c r="AE185">
        <f t="shared" si="98"/>
        <v>5.9002592586363383</v>
      </c>
      <c r="AF185">
        <f t="shared" si="99"/>
        <v>5.8966663209950418</v>
      </c>
      <c r="AG185">
        <f t="shared" si="100"/>
        <v>6.2097789625754221</v>
      </c>
      <c r="AH185">
        <f t="shared" si="101"/>
        <v>6.0774087888235302</v>
      </c>
      <c r="AI185">
        <f t="shared" si="102"/>
        <v>5.9356607469377565</v>
      </c>
      <c r="AJ185" t="str">
        <f t="shared" si="103"/>
        <v>C00147</v>
      </c>
      <c r="AL185">
        <f t="shared" si="104"/>
        <v>6.5129065217334254</v>
      </c>
      <c r="AM185">
        <f t="shared" si="105"/>
        <v>0.6019421708927889</v>
      </c>
      <c r="AN185">
        <f t="shared" si="106"/>
        <v>0.77736278901270506</v>
      </c>
      <c r="AO185">
        <f t="shared" si="107"/>
        <v>-4.2129827127494246E-2</v>
      </c>
      <c r="AP185">
        <f t="shared" si="108"/>
        <v>1.6176350234519834</v>
      </c>
      <c r="AQ185">
        <f t="shared" si="109"/>
        <v>0.46380808651818117</v>
      </c>
      <c r="AR185">
        <f t="shared" si="110"/>
        <v>0.99452140341521222</v>
      </c>
      <c r="AS185">
        <f t="shared" si="111"/>
        <v>0.98228505810285793</v>
      </c>
      <c r="AT185">
        <f t="shared" si="112"/>
        <v>0.96552842266350747</v>
      </c>
      <c r="AU185">
        <f t="shared" si="113"/>
        <v>1.3070771743130265</v>
      </c>
      <c r="AV185">
        <f t="shared" si="114"/>
        <v>-0.36889619227544129</v>
      </c>
      <c r="AW185">
        <f t="shared" si="115"/>
        <v>-1.2100140716606782</v>
      </c>
      <c r="AX185">
        <f t="shared" si="116"/>
        <v>-1.2595981191356509</v>
      </c>
      <c r="AY185">
        <f t="shared" si="117"/>
        <v>-1.0177842535744268</v>
      </c>
      <c r="AZ185">
        <f t="shared" si="118"/>
        <v>-1.0237531619098694</v>
      </c>
      <c r="BA185">
        <f t="shared" si="119"/>
        <v>-0.50358252638855738</v>
      </c>
      <c r="BB185">
        <f t="shared" si="120"/>
        <v>-0.72348766039098655</v>
      </c>
      <c r="BC185">
        <f t="shared" si="121"/>
        <v>-0.95897214501437789</v>
      </c>
      <c r="BD185" t="str">
        <f t="shared" si="122"/>
        <v>C00147</v>
      </c>
    </row>
    <row r="186" spans="1:56" x14ac:dyDescent="0.2">
      <c r="A186" t="s">
        <v>51</v>
      </c>
      <c r="B186">
        <v>12615985</v>
      </c>
      <c r="C186">
        <v>7159242.5</v>
      </c>
      <c r="D186">
        <v>12686514</v>
      </c>
      <c r="E186">
        <v>8386693</v>
      </c>
      <c r="F186">
        <v>9441868</v>
      </c>
      <c r="G186">
        <v>5562288</v>
      </c>
      <c r="H186">
        <v>5202158.5</v>
      </c>
      <c r="I186">
        <v>7163205</v>
      </c>
      <c r="J186">
        <v>11557785</v>
      </c>
      <c r="K186">
        <v>7585754</v>
      </c>
      <c r="L186">
        <v>5011250</v>
      </c>
      <c r="M186">
        <v>9060293</v>
      </c>
      <c r="N186">
        <v>2752243</v>
      </c>
      <c r="O186">
        <v>5501911.5</v>
      </c>
      <c r="P186">
        <v>4068761.75</v>
      </c>
      <c r="Q186">
        <v>3388347.25</v>
      </c>
      <c r="R186" s="2" t="s">
        <v>355</v>
      </c>
      <c r="S186" s="4" t="s">
        <v>422</v>
      </c>
      <c r="T186">
        <f t="shared" si="87"/>
        <v>7.1009211639589962</v>
      </c>
      <c r="U186">
        <f t="shared" si="88"/>
        <v>6.8548670732193688</v>
      </c>
      <c r="V186">
        <f t="shared" si="89"/>
        <v>7.1033423030603062</v>
      </c>
      <c r="W186">
        <f t="shared" si="90"/>
        <v>6.9235907456946739</v>
      </c>
      <c r="X186">
        <f t="shared" si="91"/>
        <v>6.9750579245773023</v>
      </c>
      <c r="Y186">
        <f t="shared" si="92"/>
        <v>6.7452534716861177</v>
      </c>
      <c r="Z186">
        <f t="shared" si="93"/>
        <v>6.7161835801987086</v>
      </c>
      <c r="AA186">
        <f t="shared" si="94"/>
        <v>6.8551073801820506</v>
      </c>
      <c r="AB186">
        <f t="shared" si="95"/>
        <v>7.0628746113812664</v>
      </c>
      <c r="AC186">
        <f t="shared" si="96"/>
        <v>6.8799987547687174</v>
      </c>
      <c r="AD186">
        <f t="shared" si="97"/>
        <v>6.6999460692585782</v>
      </c>
      <c r="AE186">
        <f t="shared" si="98"/>
        <v>6.9571422425140801</v>
      </c>
      <c r="AF186">
        <f t="shared" si="99"/>
        <v>6.4396867758207774</v>
      </c>
      <c r="AG186">
        <f t="shared" si="100"/>
        <v>6.7405136003446922</v>
      </c>
      <c r="AH186">
        <f t="shared" si="101"/>
        <v>6.6094622600942134</v>
      </c>
      <c r="AI186">
        <f t="shared" si="102"/>
        <v>6.5299879119983579</v>
      </c>
      <c r="AJ186" t="str">
        <f t="shared" si="103"/>
        <v>C00385</v>
      </c>
      <c r="AL186">
        <f t="shared" si="104"/>
        <v>6.8246209917973886</v>
      </c>
      <c r="AM186">
        <f t="shared" si="105"/>
        <v>0.19792983533985312</v>
      </c>
      <c r="AN186">
        <f t="shared" si="106"/>
        <v>1.3959500935631539</v>
      </c>
      <c r="AO186">
        <f t="shared" si="107"/>
        <v>0.15281213855428405</v>
      </c>
      <c r="AP186">
        <f t="shared" si="108"/>
        <v>1.4081824035489268</v>
      </c>
      <c r="AQ186">
        <f t="shared" si="109"/>
        <v>0.50002443404932095</v>
      </c>
      <c r="AR186">
        <f t="shared" si="110"/>
        <v>0.76005182605041721</v>
      </c>
      <c r="AS186">
        <f t="shared" si="111"/>
        <v>-0.4009881581268121</v>
      </c>
      <c r="AT186">
        <f t="shared" si="112"/>
        <v>-0.54785783766499241</v>
      </c>
      <c r="AU186">
        <f t="shared" si="113"/>
        <v>0.15402624032054441</v>
      </c>
      <c r="AV186">
        <f t="shared" si="114"/>
        <v>1.2037276703372546</v>
      </c>
      <c r="AW186">
        <f t="shared" si="115"/>
        <v>0.27978481807072214</v>
      </c>
      <c r="AX186">
        <f t="shared" si="116"/>
        <v>-0.62989453977334331</v>
      </c>
      <c r="AY186">
        <f t="shared" si="117"/>
        <v>0.669536507667717</v>
      </c>
      <c r="AZ186">
        <f t="shared" si="118"/>
        <v>-1.9448013752735374</v>
      </c>
      <c r="BA186">
        <f t="shared" si="119"/>
        <v>-0.42493538838286199</v>
      </c>
      <c r="BB186">
        <f t="shared" si="120"/>
        <v>-1.0870454741385467</v>
      </c>
      <c r="BC186">
        <f t="shared" si="121"/>
        <v>-1.4885733588022965</v>
      </c>
      <c r="BD186" t="str">
        <f t="shared" si="122"/>
        <v>C00385</v>
      </c>
    </row>
    <row r="187" spans="1:56" x14ac:dyDescent="0.2">
      <c r="A187" t="s">
        <v>55</v>
      </c>
      <c r="B187">
        <v>7233438.5</v>
      </c>
      <c r="C187">
        <v>2108081.25</v>
      </c>
      <c r="D187">
        <v>5507380</v>
      </c>
      <c r="E187">
        <v>4872526</v>
      </c>
      <c r="F187">
        <v>7988715.5</v>
      </c>
      <c r="G187">
        <v>3603083.25</v>
      </c>
      <c r="H187">
        <v>4295697</v>
      </c>
      <c r="I187">
        <v>4321004</v>
      </c>
      <c r="J187">
        <v>8662685</v>
      </c>
      <c r="K187">
        <v>5445205.5</v>
      </c>
      <c r="L187">
        <v>5153567</v>
      </c>
      <c r="M187">
        <v>8481340</v>
      </c>
      <c r="N187">
        <v>2149781.75</v>
      </c>
      <c r="O187">
        <v>4007178.5</v>
      </c>
      <c r="P187">
        <v>3129488.5</v>
      </c>
      <c r="Q187">
        <v>2925051</v>
      </c>
      <c r="R187" s="2" t="s">
        <v>356</v>
      </c>
      <c r="S187" s="4" t="s">
        <v>422</v>
      </c>
      <c r="T187">
        <f t="shared" si="87"/>
        <v>6.859344793364488</v>
      </c>
      <c r="U187">
        <f t="shared" si="88"/>
        <v>6.3238873455095028</v>
      </c>
      <c r="V187">
        <f t="shared" si="89"/>
        <v>6.7409450431073097</v>
      </c>
      <c r="W187">
        <f t="shared" si="90"/>
        <v>6.6877541652091361</v>
      </c>
      <c r="X187">
        <f t="shared" si="91"/>
        <v>6.9024769550201421</v>
      </c>
      <c r="Y187">
        <f t="shared" si="92"/>
        <v>6.556674296704287</v>
      </c>
      <c r="Z187">
        <f t="shared" si="93"/>
        <v>6.6330336405060137</v>
      </c>
      <c r="AA187">
        <f t="shared" si="94"/>
        <v>6.635584668342501</v>
      </c>
      <c r="AB187">
        <f t="shared" si="95"/>
        <v>6.9376525224967729</v>
      </c>
      <c r="AC187">
        <f t="shared" si="96"/>
        <v>6.7360142745108806</v>
      </c>
      <c r="AD187">
        <f t="shared" si="97"/>
        <v>6.7121079265528074</v>
      </c>
      <c r="AE187">
        <f t="shared" si="98"/>
        <v>6.9284644735575025</v>
      </c>
      <c r="AF187">
        <f t="shared" si="99"/>
        <v>6.3323943717379869</v>
      </c>
      <c r="AG187">
        <f t="shared" si="100"/>
        <v>6.6028386885366164</v>
      </c>
      <c r="AH187">
        <f t="shared" si="101"/>
        <v>6.4954733599807932</v>
      </c>
      <c r="AI187">
        <f t="shared" si="102"/>
        <v>6.4661334426662282</v>
      </c>
      <c r="AJ187" t="str">
        <f t="shared" si="103"/>
        <v>C00299</v>
      </c>
      <c r="AL187">
        <f t="shared" si="104"/>
        <v>6.6594237479876854</v>
      </c>
      <c r="AM187">
        <f t="shared" si="105"/>
        <v>0.19385997260838675</v>
      </c>
      <c r="AN187">
        <f t="shared" si="106"/>
        <v>1.0312652100733537</v>
      </c>
      <c r="AO187">
        <f t="shared" si="107"/>
        <v>-1.7308183735071192</v>
      </c>
      <c r="AP187">
        <f t="shared" si="108"/>
        <v>0.42051638624907905</v>
      </c>
      <c r="AQ187">
        <f t="shared" si="109"/>
        <v>0.14613855991138761</v>
      </c>
      <c r="AR187">
        <f t="shared" si="110"/>
        <v>1.2537565324196365</v>
      </c>
      <c r="AS187">
        <f t="shared" si="111"/>
        <v>-0.5300189095299257</v>
      </c>
      <c r="AT187">
        <f t="shared" si="112"/>
        <v>-0.13612973904098247</v>
      </c>
      <c r="AU187">
        <f t="shared" si="113"/>
        <v>-0.12297061288325524</v>
      </c>
      <c r="AV187">
        <f t="shared" si="114"/>
        <v>1.4352048582568031</v>
      </c>
      <c r="AW187">
        <f t="shared" si="115"/>
        <v>0.39508169475456612</v>
      </c>
      <c r="AX187">
        <f t="shared" si="116"/>
        <v>0.27176408753316184</v>
      </c>
      <c r="AY187">
        <f t="shared" si="117"/>
        <v>1.3878095717742707</v>
      </c>
      <c r="AZ187">
        <f t="shared" si="118"/>
        <v>-1.6869360489920477</v>
      </c>
      <c r="BA187">
        <f t="shared" si="119"/>
        <v>-0.29188624495153304</v>
      </c>
      <c r="BB187">
        <f t="shared" si="120"/>
        <v>-0.84571552239969416</v>
      </c>
      <c r="BC187">
        <f t="shared" si="121"/>
        <v>-0.99706144966769217</v>
      </c>
      <c r="BD187" t="str">
        <f t="shared" si="122"/>
        <v>C00299</v>
      </c>
    </row>
    <row r="188" spans="1:56" x14ac:dyDescent="0.2">
      <c r="A188" t="s">
        <v>59</v>
      </c>
      <c r="B188">
        <v>231288.1562</v>
      </c>
      <c r="C188">
        <v>349944.875</v>
      </c>
      <c r="D188">
        <v>454286.4375</v>
      </c>
      <c r="E188">
        <v>205671.57810000001</v>
      </c>
      <c r="F188">
        <v>388440.40620000003</v>
      </c>
      <c r="G188">
        <v>283497.875</v>
      </c>
      <c r="H188">
        <v>545685.5625</v>
      </c>
      <c r="I188">
        <v>727477.25</v>
      </c>
      <c r="J188">
        <v>961167.5625</v>
      </c>
      <c r="K188">
        <v>806253.8125</v>
      </c>
      <c r="L188">
        <v>887947.0625</v>
      </c>
      <c r="M188">
        <v>1134969.5</v>
      </c>
      <c r="N188">
        <v>672064.1875</v>
      </c>
      <c r="O188">
        <v>891724</v>
      </c>
      <c r="P188">
        <v>577824.375</v>
      </c>
      <c r="Q188">
        <v>829383.5625</v>
      </c>
      <c r="R188" s="2" t="s">
        <v>357</v>
      </c>
      <c r="S188" s="4" t="s">
        <v>422</v>
      </c>
      <c r="T188">
        <f t="shared" si="87"/>
        <v>5.3641533939955144</v>
      </c>
      <c r="U188">
        <f t="shared" si="88"/>
        <v>5.5439996375822016</v>
      </c>
      <c r="V188">
        <f t="shared" si="89"/>
        <v>5.6573297713582464</v>
      </c>
      <c r="W188">
        <f t="shared" si="90"/>
        <v>5.3131742803812934</v>
      </c>
      <c r="X188">
        <f t="shared" si="91"/>
        <v>5.5893243996009714</v>
      </c>
      <c r="Y188">
        <f t="shared" si="92"/>
        <v>5.4525498079229893</v>
      </c>
      <c r="Z188">
        <f t="shared" si="93"/>
        <v>5.7369424635696076</v>
      </c>
      <c r="AA188">
        <f t="shared" si="94"/>
        <v>5.8618194164154005</v>
      </c>
      <c r="AB188">
        <f t="shared" si="95"/>
        <v>5.9827991058012699</v>
      </c>
      <c r="AC188">
        <f t="shared" si="96"/>
        <v>5.9064717812790422</v>
      </c>
      <c r="AD188">
        <f t="shared" si="97"/>
        <v>5.9483870748445433</v>
      </c>
      <c r="AE188">
        <f t="shared" si="98"/>
        <v>6.0549841909038769</v>
      </c>
      <c r="AF188">
        <f t="shared" si="99"/>
        <v>5.8274107536279489</v>
      </c>
      <c r="AG188">
        <f t="shared" si="100"/>
        <v>5.9502304554691596</v>
      </c>
      <c r="AH188">
        <f t="shared" si="101"/>
        <v>5.7617958582155415</v>
      </c>
      <c r="AI188">
        <f t="shared" si="102"/>
        <v>5.9187554238586157</v>
      </c>
      <c r="AJ188" t="str">
        <f t="shared" si="103"/>
        <v>C02946</v>
      </c>
      <c r="AL188">
        <f t="shared" si="104"/>
        <v>5.7418829884266378</v>
      </c>
      <c r="AM188">
        <f t="shared" si="105"/>
        <v>0.23128412992336916</v>
      </c>
      <c r="AN188">
        <f t="shared" si="106"/>
        <v>-1.6331842334200608</v>
      </c>
      <c r="AO188">
        <f t="shared" si="107"/>
        <v>-0.85558551254684201</v>
      </c>
      <c r="AP188">
        <f t="shared" si="108"/>
        <v>-0.36558157750125864</v>
      </c>
      <c r="AQ188">
        <f t="shared" si="109"/>
        <v>-1.853601923259445</v>
      </c>
      <c r="AR188">
        <f t="shared" si="110"/>
        <v>-0.65961546465039911</v>
      </c>
      <c r="AS188">
        <f t="shared" si="111"/>
        <v>-1.2509858787090693</v>
      </c>
      <c r="AT188">
        <f t="shared" si="112"/>
        <v>-2.1361279127396934E-2</v>
      </c>
      <c r="AU188">
        <f t="shared" si="113"/>
        <v>0.51856747814258142</v>
      </c>
      <c r="AV188">
        <f t="shared" si="114"/>
        <v>1.0416456911870879</v>
      </c>
      <c r="AW188">
        <f t="shared" si="115"/>
        <v>0.71163029174088677</v>
      </c>
      <c r="AX188">
        <f t="shared" si="116"/>
        <v>0.89285886794881275</v>
      </c>
      <c r="AY188">
        <f t="shared" si="117"/>
        <v>1.3537513472324199</v>
      </c>
      <c r="AZ188">
        <f t="shared" si="118"/>
        <v>0.36979521781130781</v>
      </c>
      <c r="BA188">
        <f t="shared" si="119"/>
        <v>0.90082906731020895</v>
      </c>
      <c r="BB188">
        <f t="shared" si="120"/>
        <v>8.6097000237333215E-2</v>
      </c>
      <c r="BC188">
        <f t="shared" si="121"/>
        <v>0.76474090760390989</v>
      </c>
      <c r="BD188" t="str">
        <f t="shared" si="122"/>
        <v>C02946</v>
      </c>
    </row>
    <row r="189" spans="1:56" x14ac:dyDescent="0.2">
      <c r="A189" t="s">
        <v>63</v>
      </c>
      <c r="B189">
        <v>54799.574220000002</v>
      </c>
      <c r="C189">
        <v>31980.658200000002</v>
      </c>
      <c r="D189">
        <v>42110.808590000001</v>
      </c>
      <c r="E189">
        <v>43863.289060000003</v>
      </c>
      <c r="F189">
        <v>35187.078119999998</v>
      </c>
      <c r="G189">
        <v>39853.769529999998</v>
      </c>
      <c r="H189">
        <v>36186.175779999998</v>
      </c>
      <c r="I189">
        <v>41292.019529999998</v>
      </c>
      <c r="J189">
        <v>62869.125</v>
      </c>
      <c r="K189">
        <v>46648.757810000003</v>
      </c>
      <c r="L189">
        <v>40998.796880000002</v>
      </c>
      <c r="M189">
        <v>64089.46875</v>
      </c>
      <c r="N189">
        <v>49030.980470000002</v>
      </c>
      <c r="O189">
        <v>43059.753909999999</v>
      </c>
      <c r="P189">
        <v>60667.871090000001</v>
      </c>
      <c r="Q189">
        <v>69023.210940000004</v>
      </c>
      <c r="R189" s="2" t="s">
        <v>64</v>
      </c>
      <c r="S189" s="4" t="s">
        <v>422</v>
      </c>
      <c r="T189">
        <f t="shared" si="87"/>
        <v>4.7387771841299369</v>
      </c>
      <c r="U189">
        <f t="shared" si="88"/>
        <v>4.5048873977994086</v>
      </c>
      <c r="V189">
        <f t="shared" si="89"/>
        <v>4.624393580598694</v>
      </c>
      <c r="W189">
        <f t="shared" si="90"/>
        <v>4.6421011938497738</v>
      </c>
      <c r="X189">
        <f t="shared" si="91"/>
        <v>4.5463832051970732</v>
      </c>
      <c r="Y189">
        <f t="shared" si="92"/>
        <v>4.6004694049957404</v>
      </c>
      <c r="Z189">
        <f t="shared" si="93"/>
        <v>4.5585426885129898</v>
      </c>
      <c r="AA189">
        <f t="shared" si="94"/>
        <v>4.6158661240780585</v>
      </c>
      <c r="AB189">
        <f t="shared" si="95"/>
        <v>4.7984374159678733</v>
      </c>
      <c r="AC189">
        <f t="shared" si="96"/>
        <v>4.668840083592805</v>
      </c>
      <c r="AD189">
        <f t="shared" si="97"/>
        <v>4.6127711124259898</v>
      </c>
      <c r="AE189">
        <f t="shared" si="98"/>
        <v>4.8067866716480436</v>
      </c>
      <c r="AF189">
        <f t="shared" si="99"/>
        <v>4.6904705778974769</v>
      </c>
      <c r="AG189">
        <f t="shared" si="100"/>
        <v>4.6340715434662316</v>
      </c>
      <c r="AH189">
        <f t="shared" si="101"/>
        <v>4.7829587552854447</v>
      </c>
      <c r="AI189">
        <f t="shared" si="102"/>
        <v>4.8389951586802944</v>
      </c>
      <c r="AJ189" t="str">
        <f t="shared" si="103"/>
        <v>C12115</v>
      </c>
      <c r="AL189">
        <f t="shared" si="104"/>
        <v>4.6665470061328653</v>
      </c>
      <c r="AM189">
        <f t="shared" si="105"/>
        <v>0.10054551606705658</v>
      </c>
      <c r="AN189">
        <f t="shared" si="106"/>
        <v>0.71838288590511823</v>
      </c>
      <c r="AO189">
        <f t="shared" si="107"/>
        <v>-1.6078251388718463</v>
      </c>
      <c r="AP189">
        <f t="shared" si="108"/>
        <v>-0.41924719453484188</v>
      </c>
      <c r="AQ189">
        <f t="shared" si="109"/>
        <v>-0.24313179979888827</v>
      </c>
      <c r="AR189">
        <f t="shared" si="110"/>
        <v>-1.1951184462134701</v>
      </c>
      <c r="AS189">
        <f t="shared" si="111"/>
        <v>-0.6571909292608924</v>
      </c>
      <c r="AT189">
        <f t="shared" si="112"/>
        <v>-1.0741833335247335</v>
      </c>
      <c r="AU189">
        <f t="shared" si="113"/>
        <v>-0.50405909718546105</v>
      </c>
      <c r="AV189">
        <f t="shared" si="114"/>
        <v>1.3117483006109056</v>
      </c>
      <c r="AW189">
        <f t="shared" si="115"/>
        <v>2.2806362229125736E-2</v>
      </c>
      <c r="AX189">
        <f t="shared" si="116"/>
        <v>-0.5348412918882518</v>
      </c>
      <c r="AY189">
        <f t="shared" si="117"/>
        <v>1.3947878632563644</v>
      </c>
      <c r="AZ189">
        <f t="shared" si="118"/>
        <v>0.23793772910426242</v>
      </c>
      <c r="BA189">
        <f t="shared" si="119"/>
        <v>-0.3229926498659067</v>
      </c>
      <c r="BB189">
        <f t="shared" si="120"/>
        <v>1.1578014983277936</v>
      </c>
      <c r="BC189">
        <f t="shared" si="121"/>
        <v>1.7151252417106162</v>
      </c>
      <c r="BD189" t="str">
        <f t="shared" si="122"/>
        <v>C12115</v>
      </c>
    </row>
    <row r="190" spans="1:56" x14ac:dyDescent="0.2">
      <c r="A190" t="s">
        <v>62</v>
      </c>
      <c r="B190">
        <v>629265344</v>
      </c>
      <c r="C190">
        <v>550792896</v>
      </c>
      <c r="D190">
        <v>788356544</v>
      </c>
      <c r="E190">
        <v>478954528</v>
      </c>
      <c r="F190">
        <v>655046080</v>
      </c>
      <c r="G190">
        <v>741921280</v>
      </c>
      <c r="H190">
        <v>444680128</v>
      </c>
      <c r="I190">
        <v>700997568</v>
      </c>
      <c r="J190">
        <v>896079040</v>
      </c>
      <c r="K190">
        <v>223674656</v>
      </c>
      <c r="L190">
        <v>441783008</v>
      </c>
      <c r="M190">
        <v>354504864</v>
      </c>
      <c r="N190">
        <v>195752992</v>
      </c>
      <c r="O190">
        <v>310488384</v>
      </c>
      <c r="P190">
        <v>286332128</v>
      </c>
      <c r="Q190">
        <v>334736544</v>
      </c>
      <c r="R190" s="2" t="s">
        <v>358</v>
      </c>
      <c r="S190" s="4" t="s">
        <v>422</v>
      </c>
      <c r="T190">
        <f t="shared" si="87"/>
        <v>8.7988338141819167</v>
      </c>
      <c r="U190">
        <f t="shared" si="88"/>
        <v>8.7409883301907403</v>
      </c>
      <c r="V190">
        <f t="shared" si="89"/>
        <v>8.8967226769707377</v>
      </c>
      <c r="W190">
        <f t="shared" si="90"/>
        <v>8.6802942834018246</v>
      </c>
      <c r="X190">
        <f t="shared" si="91"/>
        <v>8.8162718520311962</v>
      </c>
      <c r="Y190">
        <f t="shared" si="92"/>
        <v>8.8703578278191131</v>
      </c>
      <c r="Z190">
        <f t="shared" si="93"/>
        <v>8.6480477219994665</v>
      </c>
      <c r="AA190">
        <f t="shared" si="94"/>
        <v>8.8457165112533751</v>
      </c>
      <c r="AB190">
        <f t="shared" si="95"/>
        <v>8.9523463189499477</v>
      </c>
      <c r="AC190">
        <f t="shared" si="96"/>
        <v>8.3496167780935018</v>
      </c>
      <c r="AD190">
        <f t="shared" si="97"/>
        <v>8.645209007882741</v>
      </c>
      <c r="AE190">
        <f t="shared" si="98"/>
        <v>8.5496221983170209</v>
      </c>
      <c r="AF190">
        <f t="shared" si="99"/>
        <v>8.2917084087844355</v>
      </c>
      <c r="AG190">
        <f t="shared" si="100"/>
        <v>8.4920453569793679</v>
      </c>
      <c r="AH190">
        <f t="shared" si="101"/>
        <v>8.4568700809251407</v>
      </c>
      <c r="AI190">
        <f t="shared" si="102"/>
        <v>8.5247031279274967</v>
      </c>
      <c r="AJ190" t="str">
        <f t="shared" si="103"/>
        <v>C00212</v>
      </c>
      <c r="AL190">
        <f t="shared" si="104"/>
        <v>8.6599596434817521</v>
      </c>
      <c r="AM190">
        <f t="shared" si="105"/>
        <v>0.20053408609820264</v>
      </c>
      <c r="AN190">
        <f t="shared" si="106"/>
        <v>0.69252152291036029</v>
      </c>
      <c r="AO190">
        <f t="shared" si="107"/>
        <v>0.40406440763047147</v>
      </c>
      <c r="AP190">
        <f t="shared" si="108"/>
        <v>1.180662290863816</v>
      </c>
      <c r="AQ190">
        <f t="shared" si="109"/>
        <v>0.10140241150880742</v>
      </c>
      <c r="AR190">
        <f t="shared" si="110"/>
        <v>0.77947949693149532</v>
      </c>
      <c r="AS190">
        <f t="shared" si="111"/>
        <v>1.0491891350297817</v>
      </c>
      <c r="AT190">
        <f t="shared" si="112"/>
        <v>-5.9400981219982017E-2</v>
      </c>
      <c r="AU190">
        <f t="shared" si="113"/>
        <v>0.92631069054592985</v>
      </c>
      <c r="AV190">
        <f t="shared" si="114"/>
        <v>1.4580397834461534</v>
      </c>
      <c r="AW190">
        <f t="shared" si="115"/>
        <v>-1.5475816178017421</v>
      </c>
      <c r="AX190">
        <f t="shared" si="116"/>
        <v>-7.3556749807549185E-2</v>
      </c>
      <c r="AY190">
        <f t="shared" si="117"/>
        <v>-0.55021790714770735</v>
      </c>
      <c r="AZ190">
        <f t="shared" si="118"/>
        <v>-1.8363523222529956</v>
      </c>
      <c r="BA190">
        <f t="shared" si="119"/>
        <v>-0.83733538656443485</v>
      </c>
      <c r="BB190">
        <f t="shared" si="120"/>
        <v>-1.0127433520561551</v>
      </c>
      <c r="BC190">
        <f t="shared" si="121"/>
        <v>-0.67448142201630235</v>
      </c>
      <c r="BD190" t="str">
        <f t="shared" si="122"/>
        <v>C00212</v>
      </c>
    </row>
    <row r="191" spans="1:56" x14ac:dyDescent="0.2">
      <c r="A191" t="s">
        <v>65</v>
      </c>
      <c r="B191">
        <v>828195776</v>
      </c>
      <c r="C191">
        <v>703259456</v>
      </c>
      <c r="D191">
        <v>722290048</v>
      </c>
      <c r="E191">
        <v>646699712</v>
      </c>
      <c r="F191">
        <v>637496064</v>
      </c>
      <c r="G191">
        <v>417840480</v>
      </c>
      <c r="H191">
        <v>495532224</v>
      </c>
      <c r="I191">
        <v>488936800</v>
      </c>
      <c r="J191">
        <v>373269248</v>
      </c>
      <c r="K191">
        <v>394576736</v>
      </c>
      <c r="L191">
        <v>317141824</v>
      </c>
      <c r="M191">
        <v>505217408</v>
      </c>
      <c r="N191">
        <v>312710336</v>
      </c>
      <c r="O191">
        <v>422466912</v>
      </c>
      <c r="P191">
        <v>380712928</v>
      </c>
      <c r="Q191">
        <v>368343968</v>
      </c>
      <c r="R191" s="2" t="s">
        <v>52</v>
      </c>
      <c r="S191" s="4" t="s">
        <v>422</v>
      </c>
      <c r="T191">
        <f t="shared" si="87"/>
        <v>8.9181330111644641</v>
      </c>
      <c r="U191">
        <f t="shared" si="88"/>
        <v>8.8471155803836474</v>
      </c>
      <c r="V191">
        <f t="shared" si="89"/>
        <v>8.8587116310191458</v>
      </c>
      <c r="W191">
        <f t="shared" si="90"/>
        <v>8.8107026675392941</v>
      </c>
      <c r="X191">
        <f t="shared" si="91"/>
        <v>8.804477507712491</v>
      </c>
      <c r="Y191">
        <f t="shared" si="92"/>
        <v>8.6210105117309848</v>
      </c>
      <c r="Z191">
        <f t="shared" si="93"/>
        <v>8.6950719015061448</v>
      </c>
      <c r="AA191">
        <f t="shared" si="94"/>
        <v>8.6892527258207437</v>
      </c>
      <c r="AB191">
        <f t="shared" si="95"/>
        <v>8.5720222118013663</v>
      </c>
      <c r="AC191">
        <f t="shared" si="96"/>
        <v>8.5961314759372893</v>
      </c>
      <c r="AD191">
        <f t="shared" si="97"/>
        <v>8.5012535196513319</v>
      </c>
      <c r="AE191">
        <f t="shared" si="98"/>
        <v>8.7034783063886199</v>
      </c>
      <c r="AF191">
        <f t="shared" si="99"/>
        <v>8.4951422361952158</v>
      </c>
      <c r="AG191">
        <f t="shared" si="100"/>
        <v>8.6257927002714254</v>
      </c>
      <c r="AH191">
        <f t="shared" si="101"/>
        <v>8.580597624552043</v>
      </c>
      <c r="AI191">
        <f t="shared" si="102"/>
        <v>8.5662535622436664</v>
      </c>
      <c r="AJ191" t="str">
        <f t="shared" si="103"/>
        <v>C00262</v>
      </c>
      <c r="AL191">
        <f t="shared" si="104"/>
        <v>8.6803216983698679</v>
      </c>
      <c r="AM191">
        <f t="shared" si="105"/>
        <v>0.13268159562205312</v>
      </c>
      <c r="AN191">
        <f t="shared" si="106"/>
        <v>1.7923458915282249</v>
      </c>
      <c r="AO191">
        <f t="shared" si="107"/>
        <v>1.25709885558579</v>
      </c>
      <c r="AP191">
        <f t="shared" si="108"/>
        <v>1.344496437602591</v>
      </c>
      <c r="AQ191">
        <f t="shared" si="109"/>
        <v>0.98266054578375506</v>
      </c>
      <c r="AR191">
        <f t="shared" si="110"/>
        <v>0.93574251018418653</v>
      </c>
      <c r="AS191">
        <f t="shared" si="111"/>
        <v>-0.44701894306300433</v>
      </c>
      <c r="AT191">
        <f t="shared" si="112"/>
        <v>0.11116992576945847</v>
      </c>
      <c r="AU191">
        <f t="shared" si="113"/>
        <v>6.7311727817293318E-2</v>
      </c>
      <c r="AV191">
        <f t="shared" si="114"/>
        <v>-0.81623593732619448</v>
      </c>
      <c r="AW191">
        <f t="shared" si="115"/>
        <v>-0.63452826322948774</v>
      </c>
      <c r="AX191">
        <f t="shared" si="116"/>
        <v>-1.3496082699262693</v>
      </c>
      <c r="AY191">
        <f t="shared" si="117"/>
        <v>0.1745276570588897</v>
      </c>
      <c r="AZ191">
        <f t="shared" si="118"/>
        <v>-1.3956680375034114</v>
      </c>
      <c r="BA191">
        <f t="shared" si="119"/>
        <v>-0.41097635163937657</v>
      </c>
      <c r="BB191">
        <f t="shared" si="120"/>
        <v>-0.75160442072080169</v>
      </c>
      <c r="BC191">
        <f t="shared" si="121"/>
        <v>-0.85971332792173716</v>
      </c>
      <c r="BD191" t="str">
        <f t="shared" si="122"/>
        <v>C00262</v>
      </c>
    </row>
    <row r="192" spans="1:56" x14ac:dyDescent="0.2">
      <c r="A192" t="s">
        <v>70</v>
      </c>
      <c r="B192">
        <v>324317.5</v>
      </c>
      <c r="C192">
        <v>533588.8125</v>
      </c>
      <c r="D192">
        <v>189649.95310000001</v>
      </c>
      <c r="E192">
        <v>326989.34379999997</v>
      </c>
      <c r="F192">
        <v>243856.54689999999</v>
      </c>
      <c r="G192">
        <v>239264.14060000001</v>
      </c>
      <c r="H192">
        <v>204001.85939999999</v>
      </c>
      <c r="I192">
        <v>247593.9062</v>
      </c>
      <c r="J192">
        <v>241503.82810000001</v>
      </c>
      <c r="K192">
        <v>197995.60939999999</v>
      </c>
      <c r="L192">
        <v>215876.70310000001</v>
      </c>
      <c r="M192">
        <v>226144.35939999999</v>
      </c>
      <c r="N192">
        <v>241671.17189999999</v>
      </c>
      <c r="O192">
        <v>201729.3438</v>
      </c>
      <c r="P192">
        <v>221538.0625</v>
      </c>
      <c r="Q192">
        <v>161302.35939999999</v>
      </c>
      <c r="R192" s="2" t="s">
        <v>359</v>
      </c>
      <c r="S192" s="4" t="s">
        <v>422</v>
      </c>
      <c r="T192">
        <f t="shared" si="87"/>
        <v>5.5109703836047625</v>
      </c>
      <c r="U192">
        <f t="shared" si="88"/>
        <v>5.7272067153604214</v>
      </c>
      <c r="V192">
        <f t="shared" si="89"/>
        <v>5.2779527396387902</v>
      </c>
      <c r="W192">
        <f t="shared" si="90"/>
        <v>5.5145335997420393</v>
      </c>
      <c r="X192">
        <f t="shared" si="91"/>
        <v>5.3871344197363857</v>
      </c>
      <c r="Y192">
        <f t="shared" si="92"/>
        <v>5.3788776141733283</v>
      </c>
      <c r="Z192">
        <f t="shared" si="93"/>
        <v>5.3096341258743278</v>
      </c>
      <c r="AA192">
        <f t="shared" si="94"/>
        <v>5.3937399515908853</v>
      </c>
      <c r="AB192">
        <f t="shared" si="95"/>
        <v>5.3829240191849621</v>
      </c>
      <c r="AC192">
        <f t="shared" si="96"/>
        <v>5.2966555597842877</v>
      </c>
      <c r="AD192">
        <f t="shared" si="97"/>
        <v>5.3342057768361499</v>
      </c>
      <c r="AE192">
        <f t="shared" si="98"/>
        <v>5.3543857598378297</v>
      </c>
      <c r="AF192">
        <f t="shared" si="99"/>
        <v>5.383224848043354</v>
      </c>
      <c r="AG192">
        <f t="shared" si="100"/>
        <v>5.3047690758206238</v>
      </c>
      <c r="AH192">
        <f t="shared" si="101"/>
        <v>5.3454483531938335</v>
      </c>
      <c r="AI192">
        <f t="shared" si="102"/>
        <v>5.2076407199426287</v>
      </c>
      <c r="AJ192" t="str">
        <f t="shared" si="103"/>
        <v>C02710</v>
      </c>
      <c r="AL192">
        <f t="shared" si="104"/>
        <v>5.3818314788977881</v>
      </c>
      <c r="AM192">
        <f t="shared" si="105"/>
        <v>0.12045385994662593</v>
      </c>
      <c r="AN192">
        <f t="shared" si="106"/>
        <v>1.0721026687247457</v>
      </c>
      <c r="AO192">
        <f t="shared" si="107"/>
        <v>2.8672824317599432</v>
      </c>
      <c r="AP192">
        <f t="shared" si="108"/>
        <v>-0.86239444136557708</v>
      </c>
      <c r="AQ192">
        <f t="shared" si="109"/>
        <v>1.1016842540625309</v>
      </c>
      <c r="AR192">
        <f t="shared" si="110"/>
        <v>4.4024665053883617E-2</v>
      </c>
      <c r="AS192">
        <f t="shared" si="111"/>
        <v>-2.4522790102107807E-2</v>
      </c>
      <c r="AT192">
        <f t="shared" si="112"/>
        <v>-0.59937766257927749</v>
      </c>
      <c r="AU192">
        <f t="shared" si="113"/>
        <v>9.886335480136442E-2</v>
      </c>
      <c r="AV192">
        <f t="shared" si="114"/>
        <v>9.0701973988886308E-3</v>
      </c>
      <c r="AW192">
        <f t="shared" si="115"/>
        <v>-0.70712486217745574</v>
      </c>
      <c r="AX192">
        <f t="shared" si="116"/>
        <v>-0.39538543706894508</v>
      </c>
      <c r="AY192">
        <f t="shared" si="117"/>
        <v>-0.22785254928418089</v>
      </c>
      <c r="AZ192">
        <f t="shared" si="118"/>
        <v>1.1567658738236229E-2</v>
      </c>
      <c r="BA192">
        <f t="shared" si="119"/>
        <v>-0.63976698722076031</v>
      </c>
      <c r="BB192">
        <f t="shared" si="120"/>
        <v>-0.30205030972088637</v>
      </c>
      <c r="BC192">
        <f t="shared" si="121"/>
        <v>-1.4461201910204022</v>
      </c>
      <c r="BD192" t="str">
        <f t="shared" si="122"/>
        <v>C02710</v>
      </c>
    </row>
    <row r="193" spans="1:56" x14ac:dyDescent="0.2">
      <c r="A193" t="s">
        <v>275</v>
      </c>
      <c r="B193">
        <v>92066.289059999996</v>
      </c>
      <c r="C193">
        <v>53339.894529999998</v>
      </c>
      <c r="D193">
        <v>54613.585939999997</v>
      </c>
      <c r="E193">
        <v>52039.101560000003</v>
      </c>
      <c r="G193">
        <v>36882.625</v>
      </c>
      <c r="H193">
        <v>48376.34375</v>
      </c>
      <c r="I193">
        <v>67796.21875</v>
      </c>
      <c r="J193">
        <v>104480</v>
      </c>
      <c r="L193">
        <v>56831.160159999999</v>
      </c>
      <c r="M193">
        <v>64728.058590000001</v>
      </c>
      <c r="O193">
        <v>36653.722659999999</v>
      </c>
      <c r="R193" s="2" t="s">
        <v>276</v>
      </c>
      <c r="S193" s="4" t="s">
        <v>422</v>
      </c>
      <c r="T193">
        <f t="shared" si="87"/>
        <v>4.9641006382829644</v>
      </c>
      <c r="U193">
        <f t="shared" si="88"/>
        <v>4.7270521526158689</v>
      </c>
      <c r="V193">
        <f t="shared" si="89"/>
        <v>4.7373006933424504</v>
      </c>
      <c r="W193">
        <f t="shared" si="90"/>
        <v>4.7163297899859637</v>
      </c>
      <c r="X193" t="e">
        <f t="shared" si="91"/>
        <v>#NUM!</v>
      </c>
      <c r="Y193">
        <f t="shared" si="92"/>
        <v>4.566821822968504</v>
      </c>
      <c r="Z193">
        <f t="shared" si="93"/>
        <v>4.6846330415950277</v>
      </c>
      <c r="AA193">
        <f t="shared" si="94"/>
        <v>4.8312054723065323</v>
      </c>
      <c r="AB193">
        <f t="shared" si="95"/>
        <v>5.0190331639309989</v>
      </c>
      <c r="AC193" t="e">
        <f t="shared" si="96"/>
        <v>#NUM!</v>
      </c>
      <c r="AD193">
        <f t="shared" si="97"/>
        <v>4.7545865218892356</v>
      </c>
      <c r="AE193">
        <f t="shared" si="98"/>
        <v>4.8110925812757035</v>
      </c>
      <c r="AF193" t="e">
        <f t="shared" si="99"/>
        <v>#NUM!</v>
      </c>
      <c r="AG193">
        <f t="shared" si="100"/>
        <v>4.5641180894435385</v>
      </c>
      <c r="AH193" t="e">
        <f t="shared" si="101"/>
        <v>#NUM!</v>
      </c>
      <c r="AI193" t="e">
        <f t="shared" si="102"/>
        <v>#NUM!</v>
      </c>
      <c r="AJ193" t="str">
        <f t="shared" si="103"/>
        <v>C00120</v>
      </c>
      <c r="AL193" t="e">
        <f t="shared" si="104"/>
        <v>#NUM!</v>
      </c>
      <c r="AM193" t="e">
        <f t="shared" si="105"/>
        <v>#NUM!</v>
      </c>
      <c r="AN193" t="e">
        <f t="shared" si="106"/>
        <v>#NUM!</v>
      </c>
      <c r="AO193" t="e">
        <f t="shared" si="107"/>
        <v>#NUM!</v>
      </c>
      <c r="AP193" t="e">
        <f t="shared" si="108"/>
        <v>#NUM!</v>
      </c>
      <c r="AQ193" t="e">
        <f t="shared" si="109"/>
        <v>#NUM!</v>
      </c>
      <c r="AR193" t="e">
        <f t="shared" si="110"/>
        <v>#NUM!</v>
      </c>
      <c r="AS193" t="e">
        <f t="shared" si="111"/>
        <v>#NUM!</v>
      </c>
      <c r="AT193" t="e">
        <f t="shared" si="112"/>
        <v>#NUM!</v>
      </c>
      <c r="AU193" t="e">
        <f t="shared" si="113"/>
        <v>#NUM!</v>
      </c>
      <c r="AV193" t="e">
        <f t="shared" si="114"/>
        <v>#NUM!</v>
      </c>
      <c r="AW193" t="e">
        <f t="shared" si="115"/>
        <v>#NUM!</v>
      </c>
      <c r="AX193" t="e">
        <f t="shared" si="116"/>
        <v>#NUM!</v>
      </c>
      <c r="AY193" t="e">
        <f t="shared" si="117"/>
        <v>#NUM!</v>
      </c>
      <c r="AZ193" t="e">
        <f t="shared" si="118"/>
        <v>#NUM!</v>
      </c>
      <c r="BA193" t="e">
        <f t="shared" si="119"/>
        <v>#NUM!</v>
      </c>
      <c r="BB193" t="e">
        <f t="shared" si="120"/>
        <v>#NUM!</v>
      </c>
      <c r="BC193" t="e">
        <f t="shared" si="121"/>
        <v>#NUM!</v>
      </c>
      <c r="BD193" t="str">
        <f t="shared" si="122"/>
        <v>C00120</v>
      </c>
    </row>
    <row r="194" spans="1:56" x14ac:dyDescent="0.2">
      <c r="A194" t="s">
        <v>75</v>
      </c>
      <c r="B194">
        <v>57569.464840000001</v>
      </c>
      <c r="C194">
        <v>41003.019529999998</v>
      </c>
      <c r="F194">
        <v>44268.238279999998</v>
      </c>
      <c r="G194">
        <v>33838.664060000003</v>
      </c>
      <c r="H194">
        <v>39098.574220000002</v>
      </c>
      <c r="I194">
        <v>26856.462889999999</v>
      </c>
      <c r="J194">
        <v>65219.503909999999</v>
      </c>
      <c r="K194">
        <v>249647.8125</v>
      </c>
      <c r="L194">
        <v>141472.2812</v>
      </c>
      <c r="M194">
        <v>127328.03909999999</v>
      </c>
      <c r="N194">
        <v>207760.57810000001</v>
      </c>
      <c r="O194">
        <v>196489.39060000001</v>
      </c>
      <c r="P194">
        <v>295947.65620000003</v>
      </c>
      <c r="Q194">
        <v>252464.67189999999</v>
      </c>
      <c r="R194" s="2" t="s">
        <v>360</v>
      </c>
      <c r="S194" s="4" t="s">
        <v>422</v>
      </c>
      <c r="T194">
        <f t="shared" si="87"/>
        <v>4.7601921923157349</v>
      </c>
      <c r="U194">
        <f t="shared" si="88"/>
        <v>4.612815840059497</v>
      </c>
      <c r="V194" t="e">
        <f t="shared" si="89"/>
        <v>#NUM!</v>
      </c>
      <c r="W194" t="e">
        <f t="shared" si="90"/>
        <v>#NUM!</v>
      </c>
      <c r="X194">
        <f t="shared" si="91"/>
        <v>4.6460922389316668</v>
      </c>
      <c r="Y194">
        <f t="shared" si="92"/>
        <v>4.5294132088934962</v>
      </c>
      <c r="Z194">
        <f t="shared" si="93"/>
        <v>4.5921609205754992</v>
      </c>
      <c r="AA194">
        <f t="shared" si="94"/>
        <v>4.4290488136748785</v>
      </c>
      <c r="AB194">
        <f t="shared" si="95"/>
        <v>4.8143774910358852</v>
      </c>
      <c r="AC194">
        <f t="shared" si="96"/>
        <v>5.3973277649701741</v>
      </c>
      <c r="AD194">
        <f t="shared" si="97"/>
        <v>5.1506713564601085</v>
      </c>
      <c r="AE194">
        <f t="shared" si="98"/>
        <v>5.1049240508298253</v>
      </c>
      <c r="AF194">
        <f t="shared" si="99"/>
        <v>5.3175631450602658</v>
      </c>
      <c r="AG194">
        <f t="shared" si="100"/>
        <v>5.2933391057126293</v>
      </c>
      <c r="AH194">
        <f t="shared" si="101"/>
        <v>5.4712149048639214</v>
      </c>
      <c r="AI194">
        <f t="shared" si="102"/>
        <v>5.4022006146435242</v>
      </c>
      <c r="AJ194" t="str">
        <f t="shared" si="103"/>
        <v>C00715</v>
      </c>
      <c r="AL194" t="e">
        <f t="shared" si="104"/>
        <v>#NUM!</v>
      </c>
      <c r="AM194" t="e">
        <f t="shared" si="105"/>
        <v>#NUM!</v>
      </c>
      <c r="AN194" t="e">
        <f t="shared" si="106"/>
        <v>#NUM!</v>
      </c>
      <c r="AO194" t="e">
        <f t="shared" si="107"/>
        <v>#NUM!</v>
      </c>
      <c r="AP194" t="e">
        <f t="shared" si="108"/>
        <v>#NUM!</v>
      </c>
      <c r="AQ194" t="e">
        <f t="shared" si="109"/>
        <v>#NUM!</v>
      </c>
      <c r="AR194" t="e">
        <f t="shared" si="110"/>
        <v>#NUM!</v>
      </c>
      <c r="AS194" t="e">
        <f t="shared" si="111"/>
        <v>#NUM!</v>
      </c>
      <c r="AT194" t="e">
        <f t="shared" si="112"/>
        <v>#NUM!</v>
      </c>
      <c r="AU194" t="e">
        <f t="shared" si="113"/>
        <v>#NUM!</v>
      </c>
      <c r="AV194" t="e">
        <f t="shared" si="114"/>
        <v>#NUM!</v>
      </c>
      <c r="AW194" t="e">
        <f t="shared" si="115"/>
        <v>#NUM!</v>
      </c>
      <c r="AX194" t="e">
        <f t="shared" si="116"/>
        <v>#NUM!</v>
      </c>
      <c r="AY194" t="e">
        <f t="shared" si="117"/>
        <v>#NUM!</v>
      </c>
      <c r="AZ194" t="e">
        <f t="shared" si="118"/>
        <v>#NUM!</v>
      </c>
      <c r="BA194" t="e">
        <f t="shared" si="119"/>
        <v>#NUM!</v>
      </c>
      <c r="BB194" t="e">
        <f t="shared" si="120"/>
        <v>#NUM!</v>
      </c>
      <c r="BC194" t="e">
        <f t="shared" si="121"/>
        <v>#NUM!</v>
      </c>
      <c r="BD194" t="str">
        <f t="shared" si="122"/>
        <v>C00715</v>
      </c>
    </row>
    <row r="195" spans="1:56" x14ac:dyDescent="0.2">
      <c r="A195" t="s">
        <v>277</v>
      </c>
      <c r="B195">
        <v>14721726</v>
      </c>
      <c r="C195">
        <v>8241990.5</v>
      </c>
      <c r="D195">
        <v>8367713.5</v>
      </c>
      <c r="E195">
        <v>9923723</v>
      </c>
      <c r="F195">
        <v>17100568</v>
      </c>
      <c r="G195">
        <v>10676647</v>
      </c>
      <c r="H195">
        <v>9556584</v>
      </c>
      <c r="I195">
        <v>10985178</v>
      </c>
      <c r="J195">
        <v>5385050.5</v>
      </c>
      <c r="K195">
        <v>2273627.5</v>
      </c>
      <c r="L195">
        <v>2420006.5</v>
      </c>
      <c r="M195">
        <v>3481220.25</v>
      </c>
      <c r="N195">
        <v>9387921</v>
      </c>
      <c r="O195">
        <v>15052609</v>
      </c>
      <c r="P195">
        <v>14297626</v>
      </c>
      <c r="Q195">
        <v>9817349</v>
      </c>
      <c r="R195" s="2" t="s">
        <v>278</v>
      </c>
      <c r="S195" s="4" t="s">
        <v>422</v>
      </c>
      <c r="T195">
        <f t="shared" ref="T195:T258" si="123">LOG10(B195)</f>
        <v>7.1679587304044903</v>
      </c>
      <c r="U195">
        <f t="shared" ref="U195:U258" si="124">LOG10(C195)</f>
        <v>6.9160321096061921</v>
      </c>
      <c r="V195">
        <f t="shared" ref="V195:V258" si="125">LOG10(D195)</f>
        <v>6.9226068020801872</v>
      </c>
      <c r="W195">
        <f t="shared" ref="W195:W258" si="126">LOG10(E195)</f>
        <v>6.9966746333459975</v>
      </c>
      <c r="X195">
        <f t="shared" ref="X195:X258" si="127">LOG10(F195)</f>
        <v>7.2330105358406289</v>
      </c>
      <c r="Y195">
        <f t="shared" ref="Y195:Y258" si="128">LOG10(G195)</f>
        <v>7.0284348839629534</v>
      </c>
      <c r="Z195">
        <f t="shared" ref="Z195:Z258" si="129">LOG10(H195)</f>
        <v>6.9803026814951394</v>
      </c>
      <c r="AA195">
        <f t="shared" ref="AA195:AA258" si="130">LOG10(I195)</f>
        <v>7.0408070984701361</v>
      </c>
      <c r="AB195">
        <f t="shared" ref="AB195:AB258" si="131">LOG10(J195)</f>
        <v>6.7311897803858107</v>
      </c>
      <c r="AC195">
        <f t="shared" ref="AC195:AC258" si="132">LOG10(K195)</f>
        <v>6.3567193134977265</v>
      </c>
      <c r="AD195">
        <f t="shared" ref="AD195:AD258" si="133">LOG10(L195)</f>
        <v>6.3838165324723075</v>
      </c>
      <c r="AE195">
        <f t="shared" ref="AE195:AE258" si="134">LOG10(M195)</f>
        <v>6.541731501116427</v>
      </c>
      <c r="AF195">
        <f t="shared" ref="AF195:AF258" si="135">LOG10(N195)</f>
        <v>6.9725694263240383</v>
      </c>
      <c r="AG195">
        <f t="shared" ref="AG195:AG258" si="136">LOG10(O195)</f>
        <v>7.1776117807340025</v>
      </c>
      <c r="AH195">
        <f t="shared" ref="AH195:AH258" si="137">LOG10(P195)</f>
        <v>7.1552639325216374</v>
      </c>
      <c r="AI195">
        <f t="shared" ref="AI195:AI258" si="138">LOG10(Q195)</f>
        <v>6.991994230138932</v>
      </c>
      <c r="AJ195" t="str">
        <f t="shared" ref="AJ195:AJ258" si="139">R195</f>
        <v>C00791</v>
      </c>
      <c r="AL195">
        <f t="shared" ref="AL195:AL258" si="140">AVERAGE(T195:AI195)</f>
        <v>6.9122952482747877</v>
      </c>
      <c r="AM195">
        <f t="shared" ref="AM195:AM258" si="141">STDEV(T195:AI195)</f>
        <v>0.27173192770348009</v>
      </c>
      <c r="AN195">
        <f t="shared" ref="AN195:AN258" si="142">(T195-$AL195)/$AM195</f>
        <v>0.94086655289432253</v>
      </c>
      <c r="AO195">
        <f t="shared" ref="AO195:AO258" si="143">(U195-$AL195)/$AM195</f>
        <v>1.3752014211160825E-2</v>
      </c>
      <c r="AP195">
        <f t="shared" ref="AP195:AP258" si="144">(V195-$AL195)/$AM195</f>
        <v>3.7947523842879791E-2</v>
      </c>
      <c r="AQ195">
        <f t="shared" ref="AQ195:AQ258" si="145">(W195-$AL195)/$AM195</f>
        <v>0.31052436783684267</v>
      </c>
      <c r="AR195">
        <f t="shared" ref="AR195:AR258" si="146">(X195-$AL195)/$AM195</f>
        <v>1.1802635423681713</v>
      </c>
      <c r="AS195">
        <f t="shared" ref="AS195:AS258" si="147">(Y195-$AL195)/$AM195</f>
        <v>0.42740518815624712</v>
      </c>
      <c r="AT195">
        <f t="shared" ref="AT195:AT258" si="148">(Z195-$AL195)/$AM195</f>
        <v>0.2502739880260334</v>
      </c>
      <c r="AU195">
        <f t="shared" ref="AU195:AU258" si="149">(AA195-$AL195)/$AM195</f>
        <v>0.47293614438853637</v>
      </c>
      <c r="AV195">
        <f t="shared" ref="AV195:AV258" si="150">(AB195-$AL195)/$AM195</f>
        <v>-0.66648578773784461</v>
      </c>
      <c r="AW195">
        <f t="shared" ref="AW195:AW258" si="151">(AC195-$AL195)/$AM195</f>
        <v>-2.0445736335529849</v>
      </c>
      <c r="AX195">
        <f t="shared" ref="AX195:AX258" si="152">(AD195-$AL195)/$AM195</f>
        <v>-1.9448532245322598</v>
      </c>
      <c r="AY195">
        <f t="shared" ref="AY195:AY258" si="153">(AE195-$AL195)/$AM195</f>
        <v>-1.3637107361293521</v>
      </c>
      <c r="AZ195">
        <f t="shared" ref="AZ195:AZ258" si="154">(AF195-$AL195)/$AM195</f>
        <v>0.22181485465713524</v>
      </c>
      <c r="BA195">
        <f t="shared" ref="BA195:BA258" si="155">(AG195-$AL195)/$AM195</f>
        <v>0.97639071971231184</v>
      </c>
      <c r="BB195">
        <f t="shared" ref="BB195:BB258" si="156">(AH195-$AL195)/$AM195</f>
        <v>0.89414845837321888</v>
      </c>
      <c r="BC195">
        <f t="shared" ref="BC195:BC258" si="157">(AI195-$AL195)/$AM195</f>
        <v>0.29330002748559436</v>
      </c>
      <c r="BD195" t="str">
        <f t="shared" ref="BD195:BD258" si="158">AJ195</f>
        <v>C00791</v>
      </c>
    </row>
    <row r="196" spans="1:56" x14ac:dyDescent="0.2">
      <c r="A196" t="s">
        <v>279</v>
      </c>
      <c r="B196">
        <v>206379968</v>
      </c>
      <c r="C196">
        <v>158139536</v>
      </c>
      <c r="D196">
        <v>193984944</v>
      </c>
      <c r="E196">
        <v>128624576</v>
      </c>
      <c r="F196">
        <v>136863472</v>
      </c>
      <c r="G196">
        <v>88058400</v>
      </c>
      <c r="H196">
        <v>95997408</v>
      </c>
      <c r="I196">
        <v>114035000</v>
      </c>
      <c r="J196">
        <v>236366736</v>
      </c>
      <c r="K196">
        <v>217536944</v>
      </c>
      <c r="L196">
        <v>203406512</v>
      </c>
      <c r="M196">
        <v>203226240</v>
      </c>
      <c r="N196">
        <v>141338000</v>
      </c>
      <c r="O196">
        <v>141072368</v>
      </c>
      <c r="P196">
        <v>158523664</v>
      </c>
      <c r="Q196">
        <v>207080496</v>
      </c>
      <c r="R196" s="2" t="s">
        <v>280</v>
      </c>
      <c r="S196" s="4" t="s">
        <v>422</v>
      </c>
      <c r="T196">
        <f t="shared" si="123"/>
        <v>8.3146675407785047</v>
      </c>
      <c r="U196">
        <f t="shared" si="124"/>
        <v>8.1990404601922577</v>
      </c>
      <c r="V196">
        <f t="shared" si="125"/>
        <v>8.2877680237886668</v>
      </c>
      <c r="W196">
        <f t="shared" si="126"/>
        <v>8.109323956157942</v>
      </c>
      <c r="X196">
        <f t="shared" si="127"/>
        <v>8.1362875531330001</v>
      </c>
      <c r="Y196">
        <f t="shared" si="128"/>
        <v>7.9447707901686595</v>
      </c>
      <c r="Z196">
        <f t="shared" si="129"/>
        <v>7.9822595069302542</v>
      </c>
      <c r="AA196">
        <f t="shared" si="130"/>
        <v>8.0570381668975575</v>
      </c>
      <c r="AB196">
        <f t="shared" si="131"/>
        <v>8.3735863580462713</v>
      </c>
      <c r="AC196">
        <f t="shared" si="132"/>
        <v>8.3375330231888096</v>
      </c>
      <c r="AD196">
        <f t="shared" si="133"/>
        <v>8.3083648526201319</v>
      </c>
      <c r="AE196">
        <f t="shared" si="134"/>
        <v>8.3079797821132146</v>
      </c>
      <c r="AF196">
        <f t="shared" si="135"/>
        <v>8.1502589415484703</v>
      </c>
      <c r="AG196">
        <f t="shared" si="136"/>
        <v>8.149441956346017</v>
      </c>
      <c r="AH196">
        <f t="shared" si="137"/>
        <v>8.200094101743101</v>
      </c>
      <c r="AI196">
        <f t="shared" si="138"/>
        <v>8.316139196534877</v>
      </c>
      <c r="AJ196" t="str">
        <f t="shared" si="139"/>
        <v>C00836</v>
      </c>
      <c r="AL196">
        <f t="shared" si="140"/>
        <v>8.1984096381367344</v>
      </c>
      <c r="AM196">
        <f t="shared" si="141"/>
        <v>0.13090796851672812</v>
      </c>
      <c r="AN196">
        <f t="shared" si="142"/>
        <v>0.88808881505875803</v>
      </c>
      <c r="AO196">
        <f t="shared" si="143"/>
        <v>4.8188209065571832E-3</v>
      </c>
      <c r="AP196">
        <f t="shared" si="144"/>
        <v>0.68260463182204023</v>
      </c>
      <c r="AQ196">
        <f t="shared" si="145"/>
        <v>-0.68052146090257726</v>
      </c>
      <c r="AR196">
        <f t="shared" si="146"/>
        <v>-0.47454777358183503</v>
      </c>
      <c r="AS196">
        <f t="shared" si="147"/>
        <v>-1.9375355896357338</v>
      </c>
      <c r="AT196">
        <f t="shared" si="148"/>
        <v>-1.6511609923796149</v>
      </c>
      <c r="AU196">
        <f t="shared" si="149"/>
        <v>-1.0799302199935348</v>
      </c>
      <c r="AV196">
        <f t="shared" si="150"/>
        <v>1.3381669725258309</v>
      </c>
      <c r="AW196">
        <f t="shared" si="151"/>
        <v>1.0627571921589885</v>
      </c>
      <c r="AX196">
        <f t="shared" si="152"/>
        <v>0.83994286772043869</v>
      </c>
      <c r="AY196">
        <f t="shared" si="153"/>
        <v>0.8370013316834779</v>
      </c>
      <c r="AZ196">
        <f t="shared" si="154"/>
        <v>-0.36782097479506104</v>
      </c>
      <c r="BA196">
        <f t="shared" si="155"/>
        <v>-0.37406188748899627</v>
      </c>
      <c r="BB196">
        <f t="shared" si="156"/>
        <v>1.2867540650525019E-2</v>
      </c>
      <c r="BC196">
        <f t="shared" si="157"/>
        <v>0.89933072625062149</v>
      </c>
      <c r="BD196" t="str">
        <f t="shared" si="158"/>
        <v>C00836</v>
      </c>
    </row>
    <row r="197" spans="1:56" x14ac:dyDescent="0.2">
      <c r="A197" t="s">
        <v>281</v>
      </c>
      <c r="B197">
        <v>494928.40620000003</v>
      </c>
      <c r="C197">
        <v>417489.03120000003</v>
      </c>
      <c r="D197">
        <v>577655.1875</v>
      </c>
      <c r="E197">
        <v>301328.53120000003</v>
      </c>
      <c r="F197">
        <v>387577.375</v>
      </c>
      <c r="G197">
        <v>337144.65620000003</v>
      </c>
      <c r="H197">
        <v>316045.75</v>
      </c>
      <c r="I197">
        <v>548033.6875</v>
      </c>
      <c r="J197">
        <v>526641.5</v>
      </c>
      <c r="K197">
        <v>155332.57810000001</v>
      </c>
      <c r="L197">
        <v>170992.375</v>
      </c>
      <c r="M197">
        <v>191809.07810000001</v>
      </c>
      <c r="N197">
        <v>269233.28120000003</v>
      </c>
      <c r="O197">
        <v>280783.03120000003</v>
      </c>
      <c r="P197">
        <v>255981.2188</v>
      </c>
      <c r="Q197">
        <v>316658.90620000003</v>
      </c>
      <c r="R197" s="2"/>
      <c r="S197" s="4" t="s">
        <v>422</v>
      </c>
      <c r="T197">
        <f t="shared" si="123"/>
        <v>5.6945423806688575</v>
      </c>
      <c r="U197">
        <f t="shared" si="124"/>
        <v>5.62064506963545</v>
      </c>
      <c r="V197">
        <f t="shared" si="125"/>
        <v>5.7616686777779691</v>
      </c>
      <c r="W197">
        <f t="shared" si="126"/>
        <v>5.4790402546607027</v>
      </c>
      <c r="X197">
        <f t="shared" si="127"/>
        <v>5.5883584169869751</v>
      </c>
      <c r="Y197">
        <f t="shared" si="128"/>
        <v>5.5278162804259923</v>
      </c>
      <c r="Z197">
        <f t="shared" si="129"/>
        <v>5.4997499545626631</v>
      </c>
      <c r="AA197">
        <f t="shared" si="130"/>
        <v>5.7388072552830725</v>
      </c>
      <c r="AB197">
        <f t="shared" si="131"/>
        <v>5.7215150790595564</v>
      </c>
      <c r="AC197">
        <f t="shared" si="132"/>
        <v>5.1912625504179779</v>
      </c>
      <c r="AD197">
        <f t="shared" si="133"/>
        <v>5.2329767444900632</v>
      </c>
      <c r="AE197">
        <f t="shared" si="134"/>
        <v>5.2828691579724767</v>
      </c>
      <c r="AF197">
        <f t="shared" si="135"/>
        <v>5.4301287440665025</v>
      </c>
      <c r="AG197">
        <f t="shared" si="136"/>
        <v>5.4483708581626029</v>
      </c>
      <c r="AH197">
        <f t="shared" si="137"/>
        <v>5.4082081025355304</v>
      </c>
      <c r="AI197">
        <f t="shared" si="138"/>
        <v>5.5005917072981889</v>
      </c>
      <c r="AJ197">
        <f t="shared" si="139"/>
        <v>0</v>
      </c>
      <c r="AL197">
        <f t="shared" si="140"/>
        <v>5.5079094521252854</v>
      </c>
      <c r="AM197">
        <f t="shared" si="141"/>
        <v>0.17601692692418611</v>
      </c>
      <c r="AN197">
        <f t="shared" si="142"/>
        <v>1.0603123904325324</v>
      </c>
      <c r="AO197">
        <f t="shared" si="143"/>
        <v>0.64048168253001025</v>
      </c>
      <c r="AP197">
        <f t="shared" si="144"/>
        <v>1.4416751279948361</v>
      </c>
      <c r="AQ197">
        <f t="shared" si="145"/>
        <v>-0.16401375690996606</v>
      </c>
      <c r="AR197">
        <f t="shared" si="146"/>
        <v>0.45705243391927103</v>
      </c>
      <c r="AS197">
        <f t="shared" si="147"/>
        <v>0.11309610188388954</v>
      </c>
      <c r="AT197">
        <f t="shared" si="148"/>
        <v>-4.6356323253710113E-2</v>
      </c>
      <c r="AU197">
        <f t="shared" si="149"/>
        <v>1.3117931734897248</v>
      </c>
      <c r="AV197">
        <f t="shared" si="150"/>
        <v>1.2135516206704089</v>
      </c>
      <c r="AW197">
        <f t="shared" si="151"/>
        <v>-1.7989571073678239</v>
      </c>
      <c r="AX197">
        <f t="shared" si="152"/>
        <v>-1.561967433698243</v>
      </c>
      <c r="AY197">
        <f t="shared" si="153"/>
        <v>-1.2785150728698831</v>
      </c>
      <c r="AZ197">
        <f t="shared" si="154"/>
        <v>-0.44189334183913204</v>
      </c>
      <c r="BA197">
        <f t="shared" si="155"/>
        <v>-0.3382549337901285</v>
      </c>
      <c r="BB197">
        <f t="shared" si="156"/>
        <v>-0.56643046400133013</v>
      </c>
      <c r="BC197">
        <f t="shared" si="157"/>
        <v>-4.1574097190370536E-2</v>
      </c>
      <c r="BD197">
        <f t="shared" si="158"/>
        <v>0</v>
      </c>
    </row>
    <row r="198" spans="1:56" x14ac:dyDescent="0.2">
      <c r="A198" t="s">
        <v>282</v>
      </c>
      <c r="B198">
        <v>1284287</v>
      </c>
      <c r="C198">
        <v>1815276.5</v>
      </c>
      <c r="D198">
        <v>2213383.25</v>
      </c>
      <c r="E198">
        <v>3070456.25</v>
      </c>
      <c r="F198">
        <v>1168034.125</v>
      </c>
      <c r="G198">
        <v>1301717.5</v>
      </c>
      <c r="H198">
        <v>2524980.5</v>
      </c>
      <c r="I198">
        <v>2900126.5</v>
      </c>
      <c r="J198">
        <v>952013.4375</v>
      </c>
      <c r="K198">
        <v>1474598.875</v>
      </c>
      <c r="L198">
        <v>1572977.75</v>
      </c>
      <c r="M198">
        <v>2462466.75</v>
      </c>
      <c r="N198">
        <v>1042945.875</v>
      </c>
      <c r="O198">
        <v>1908666.375</v>
      </c>
      <c r="P198">
        <v>2117312.75</v>
      </c>
      <c r="Q198">
        <v>1005989.562</v>
      </c>
      <c r="R198" s="2" t="s">
        <v>402</v>
      </c>
      <c r="S198" s="4" t="s">
        <v>422</v>
      </c>
      <c r="T198">
        <f t="shared" si="123"/>
        <v>6.1086620864963228</v>
      </c>
      <c r="U198">
        <f t="shared" si="124"/>
        <v>6.2589427854483857</v>
      </c>
      <c r="V198">
        <f t="shared" si="125"/>
        <v>6.3450566190557813</v>
      </c>
      <c r="W198">
        <f t="shared" si="126"/>
        <v>6.4872029136318989</v>
      </c>
      <c r="X198">
        <f t="shared" si="127"/>
        <v>6.0674555312033496</v>
      </c>
      <c r="Y198">
        <f t="shared" si="128"/>
        <v>6.1145167434463588</v>
      </c>
      <c r="Z198">
        <f t="shared" si="129"/>
        <v>6.4022580284843444</v>
      </c>
      <c r="AA198">
        <f t="shared" si="130"/>
        <v>6.4624169417106021</v>
      </c>
      <c r="AB198">
        <f t="shared" si="131"/>
        <v>5.9786430784169475</v>
      </c>
      <c r="AC198">
        <f t="shared" si="132"/>
        <v>6.1686738982355465</v>
      </c>
      <c r="AD198">
        <f t="shared" si="133"/>
        <v>6.1967225795078615</v>
      </c>
      <c r="AE198">
        <f t="shared" si="134"/>
        <v>6.3913703750522828</v>
      </c>
      <c r="AF198">
        <f t="shared" si="135"/>
        <v>6.0182617707479462</v>
      </c>
      <c r="AG198">
        <f t="shared" si="136"/>
        <v>6.2807300226006184</v>
      </c>
      <c r="AH198">
        <f t="shared" si="137"/>
        <v>6.3257850127512336</v>
      </c>
      <c r="AI198">
        <f t="shared" si="138"/>
        <v>6.0025934745675036</v>
      </c>
      <c r="AJ198" t="str">
        <f t="shared" si="139"/>
        <v>C05332</v>
      </c>
      <c r="AL198">
        <f t="shared" si="140"/>
        <v>6.2255807413348121</v>
      </c>
      <c r="AM198">
        <f t="shared" si="141"/>
        <v>0.1674258239323142</v>
      </c>
      <c r="AN198">
        <f t="shared" si="142"/>
        <v>-0.69833107039542708</v>
      </c>
      <c r="AO198">
        <f t="shared" si="143"/>
        <v>0.19926462555179636</v>
      </c>
      <c r="AP198">
        <f t="shared" si="144"/>
        <v>0.71360483654702012</v>
      </c>
      <c r="AQ198">
        <f t="shared" si="145"/>
        <v>1.5626154087367892</v>
      </c>
      <c r="AR198">
        <f t="shared" si="146"/>
        <v>-0.94444934728461205</v>
      </c>
      <c r="AS198">
        <f t="shared" si="147"/>
        <v>-0.66336240897553267</v>
      </c>
      <c r="AT198">
        <f t="shared" si="148"/>
        <v>1.0552570863916326</v>
      </c>
      <c r="AU198">
        <f t="shared" si="149"/>
        <v>1.41457389794024</v>
      </c>
      <c r="AV198">
        <f t="shared" si="150"/>
        <v>-1.4749078554195731</v>
      </c>
      <c r="AW198">
        <f t="shared" si="151"/>
        <v>-0.33989286576407446</v>
      </c>
      <c r="AX198">
        <f t="shared" si="152"/>
        <v>-0.17236386328680781</v>
      </c>
      <c r="AY198">
        <f t="shared" si="153"/>
        <v>0.99022737247806536</v>
      </c>
      <c r="AZ198">
        <f t="shared" si="154"/>
        <v>-1.2382735573138313</v>
      </c>
      <c r="BA198">
        <f t="shared" si="155"/>
        <v>0.3293953105352595</v>
      </c>
      <c r="BB198">
        <f t="shared" si="156"/>
        <v>0.59849949704850447</v>
      </c>
      <c r="BC198">
        <f t="shared" si="157"/>
        <v>-1.3318570667895075</v>
      </c>
      <c r="BD198" t="str">
        <f t="shared" si="158"/>
        <v>C05332</v>
      </c>
    </row>
    <row r="199" spans="1:56" x14ac:dyDescent="0.2">
      <c r="A199" t="s">
        <v>283</v>
      </c>
      <c r="B199">
        <v>151339.82810000001</v>
      </c>
      <c r="C199">
        <v>56386.042970000002</v>
      </c>
      <c r="D199">
        <v>70000.023440000004</v>
      </c>
      <c r="E199">
        <v>111115.0469</v>
      </c>
      <c r="F199">
        <v>140387.82810000001</v>
      </c>
      <c r="G199">
        <v>62243.511720000002</v>
      </c>
      <c r="H199">
        <v>57925.964840000001</v>
      </c>
      <c r="I199">
        <v>68723.617190000004</v>
      </c>
      <c r="J199">
        <v>111629.17969999999</v>
      </c>
      <c r="K199">
        <v>48026.472659999999</v>
      </c>
      <c r="L199">
        <v>82625.03125</v>
      </c>
      <c r="M199">
        <v>59971.527340000001</v>
      </c>
      <c r="N199">
        <v>52628.652340000001</v>
      </c>
      <c r="O199">
        <v>73127.695309999996</v>
      </c>
      <c r="P199">
        <v>59560.695310000003</v>
      </c>
      <c r="Q199">
        <v>103914.47659999999</v>
      </c>
      <c r="R199" s="2" t="s">
        <v>284</v>
      </c>
      <c r="S199" s="4" t="s">
        <v>422</v>
      </c>
      <c r="T199">
        <f t="shared" si="123"/>
        <v>5.1799532363365577</v>
      </c>
      <c r="U199">
        <f t="shared" si="124"/>
        <v>4.7511716179685113</v>
      </c>
      <c r="V199">
        <f t="shared" si="125"/>
        <v>4.8450981854408415</v>
      </c>
      <c r="W199">
        <f t="shared" si="126"/>
        <v>5.0457728739107885</v>
      </c>
      <c r="X199">
        <f t="shared" si="127"/>
        <v>5.1473294552427955</v>
      </c>
      <c r="Y199">
        <f t="shared" si="128"/>
        <v>4.7940940871563473</v>
      </c>
      <c r="Z199">
        <f t="shared" si="129"/>
        <v>4.7628732763195565</v>
      </c>
      <c r="AA199">
        <f t="shared" si="130"/>
        <v>4.8371060100245007</v>
      </c>
      <c r="AB199">
        <f t="shared" si="131"/>
        <v>5.0477777333672611</v>
      </c>
      <c r="AC199">
        <f t="shared" si="132"/>
        <v>4.6814806907290656</v>
      </c>
      <c r="AD199">
        <f t="shared" si="133"/>
        <v>4.9171116367502776</v>
      </c>
      <c r="AE199">
        <f t="shared" si="134"/>
        <v>4.7779451094828911</v>
      </c>
      <c r="AF199">
        <f t="shared" si="135"/>
        <v>4.721222249196547</v>
      </c>
      <c r="AG199">
        <f t="shared" si="136"/>
        <v>4.864081886429557</v>
      </c>
      <c r="AH199">
        <f t="shared" si="137"/>
        <v>4.7749597590521606</v>
      </c>
      <c r="AI199">
        <f t="shared" si="138"/>
        <v>5.0166760544824864</v>
      </c>
      <c r="AJ199" t="str">
        <f t="shared" si="139"/>
        <v>C02376</v>
      </c>
      <c r="AL199">
        <f t="shared" si="140"/>
        <v>4.8852908663681349</v>
      </c>
      <c r="AM199">
        <f t="shared" si="141"/>
        <v>0.15572461338361815</v>
      </c>
      <c r="AN199">
        <f t="shared" si="142"/>
        <v>1.892201647292197</v>
      </c>
      <c r="AO199">
        <f t="shared" si="143"/>
        <v>-0.86125915155897026</v>
      </c>
      <c r="AP199">
        <f t="shared" si="144"/>
        <v>-0.25810101597928653</v>
      </c>
      <c r="AQ199">
        <f t="shared" si="145"/>
        <v>1.0305500463649631</v>
      </c>
      <c r="AR199">
        <f t="shared" si="146"/>
        <v>1.6827050212617602</v>
      </c>
      <c r="AS199">
        <f t="shared" si="147"/>
        <v>-0.58562854792344132</v>
      </c>
      <c r="AT199">
        <f t="shared" si="148"/>
        <v>-0.78611587075840172</v>
      </c>
      <c r="AU199">
        <f t="shared" si="149"/>
        <v>-0.30942350921067152</v>
      </c>
      <c r="AV199">
        <f t="shared" si="150"/>
        <v>1.0434244366935728</v>
      </c>
      <c r="AW199">
        <f t="shared" si="151"/>
        <v>-1.3087858830446752</v>
      </c>
      <c r="AX199">
        <f t="shared" si="152"/>
        <v>0.20434001851559691</v>
      </c>
      <c r="AY199">
        <f t="shared" si="153"/>
        <v>-0.6893307008623234</v>
      </c>
      <c r="AZ199">
        <f t="shared" si="154"/>
        <v>-1.0535817916427561</v>
      </c>
      <c r="BA199">
        <f t="shared" si="155"/>
        <v>-0.13619542523012029</v>
      </c>
      <c r="BB199">
        <f t="shared" si="156"/>
        <v>-0.70850140461855116</v>
      </c>
      <c r="BC199">
        <f t="shared" si="157"/>
        <v>0.84370213070102196</v>
      </c>
      <c r="BD199" t="str">
        <f t="shared" si="158"/>
        <v>C02376</v>
      </c>
    </row>
    <row r="200" spans="1:56" x14ac:dyDescent="0.2">
      <c r="A200" t="s">
        <v>81</v>
      </c>
      <c r="B200">
        <v>47882076</v>
      </c>
      <c r="C200">
        <v>32341616</v>
      </c>
      <c r="D200">
        <v>45483564</v>
      </c>
      <c r="E200">
        <v>22670586</v>
      </c>
      <c r="F200">
        <v>21554402</v>
      </c>
      <c r="G200">
        <v>17544378</v>
      </c>
      <c r="H200">
        <v>14360756</v>
      </c>
      <c r="I200">
        <v>16779092</v>
      </c>
      <c r="J200">
        <v>5382929.5</v>
      </c>
      <c r="K200">
        <v>2257885.75</v>
      </c>
      <c r="L200">
        <v>2744815</v>
      </c>
      <c r="M200">
        <v>3914994</v>
      </c>
      <c r="N200">
        <v>3947103.25</v>
      </c>
      <c r="O200">
        <v>6252866.5</v>
      </c>
      <c r="P200">
        <v>5392600.5</v>
      </c>
      <c r="Q200">
        <v>3237561.75</v>
      </c>
      <c r="R200" s="2" t="s">
        <v>366</v>
      </c>
      <c r="S200" s="4" t="s">
        <v>422</v>
      </c>
      <c r="T200">
        <f t="shared" si="123"/>
        <v>7.6801729716382816</v>
      </c>
      <c r="U200">
        <f t="shared" si="124"/>
        <v>7.509761716323279</v>
      </c>
      <c r="V200">
        <f t="shared" si="125"/>
        <v>7.6578544877854791</v>
      </c>
      <c r="W200">
        <f t="shared" si="126"/>
        <v>7.3554627461202182</v>
      </c>
      <c r="X200">
        <f t="shared" si="127"/>
        <v>7.3335359783983138</v>
      </c>
      <c r="Y200">
        <f t="shared" si="128"/>
        <v>7.2441379758027127</v>
      </c>
      <c r="Z200">
        <f t="shared" si="129"/>
        <v>7.1571773032757831</v>
      </c>
      <c r="AA200">
        <f t="shared" si="130"/>
        <v>7.2247684552972578</v>
      </c>
      <c r="AB200">
        <f t="shared" si="131"/>
        <v>6.7310186919164732</v>
      </c>
      <c r="AC200">
        <f t="shared" si="132"/>
        <v>6.3537019626554301</v>
      </c>
      <c r="AD200">
        <f t="shared" si="133"/>
        <v>6.4385130784084446</v>
      </c>
      <c r="AE200">
        <f t="shared" si="134"/>
        <v>6.5927311008080389</v>
      </c>
      <c r="AF200">
        <f t="shared" si="135"/>
        <v>6.5962784870032598</v>
      </c>
      <c r="AG200">
        <f t="shared" si="136"/>
        <v>6.7960791565021532</v>
      </c>
      <c r="AH200">
        <f t="shared" si="137"/>
        <v>6.7317982476436073</v>
      </c>
      <c r="AI200">
        <f t="shared" si="138"/>
        <v>6.5102180604649096</v>
      </c>
      <c r="AJ200" t="str">
        <f t="shared" si="139"/>
        <v>C00255</v>
      </c>
      <c r="AL200">
        <f t="shared" si="140"/>
        <v>6.9945756512527284</v>
      </c>
      <c r="AM200">
        <f t="shared" si="141"/>
        <v>0.44831565303587539</v>
      </c>
      <c r="AN200">
        <f t="shared" si="142"/>
        <v>1.5292736618560359</v>
      </c>
      <c r="AO200">
        <f t="shared" si="143"/>
        <v>1.1491592175777188</v>
      </c>
      <c r="AP200">
        <f t="shared" si="144"/>
        <v>1.4794906937582957</v>
      </c>
      <c r="AQ200">
        <f t="shared" si="145"/>
        <v>0.80498437300517522</v>
      </c>
      <c r="AR200">
        <f t="shared" si="146"/>
        <v>0.75607515564142247</v>
      </c>
      <c r="AS200">
        <f t="shared" si="147"/>
        <v>0.55666654255771353</v>
      </c>
      <c r="AT200">
        <f t="shared" si="148"/>
        <v>0.36269456781613391</v>
      </c>
      <c r="AU200">
        <f t="shared" si="149"/>
        <v>0.51346144727654364</v>
      </c>
      <c r="AV200">
        <f t="shared" si="150"/>
        <v>-0.5878825723606057</v>
      </c>
      <c r="AW200">
        <f t="shared" si="151"/>
        <v>-1.4295144152506625</v>
      </c>
      <c r="AX200">
        <f t="shared" si="152"/>
        <v>-1.2403371800176388</v>
      </c>
      <c r="AY200">
        <f t="shared" si="153"/>
        <v>-0.89634289528706868</v>
      </c>
      <c r="AZ200">
        <f t="shared" si="154"/>
        <v>-0.88843019767948139</v>
      </c>
      <c r="BA200">
        <f t="shared" si="155"/>
        <v>-0.44276057150003406</v>
      </c>
      <c r="BB200">
        <f t="shared" si="156"/>
        <v>-0.58614371777934082</v>
      </c>
      <c r="BC200">
        <f t="shared" si="157"/>
        <v>-1.0803941096142349</v>
      </c>
      <c r="BD200" t="str">
        <f t="shared" si="158"/>
        <v>C00255</v>
      </c>
    </row>
    <row r="201" spans="1:56" x14ac:dyDescent="0.2">
      <c r="A201" t="s">
        <v>285</v>
      </c>
      <c r="B201">
        <v>154263.42189999999</v>
      </c>
      <c r="C201">
        <v>93459.976559999996</v>
      </c>
      <c r="E201">
        <v>75072.5</v>
      </c>
      <c r="F201">
        <v>98484.921879999994</v>
      </c>
      <c r="G201">
        <v>106602.2656</v>
      </c>
      <c r="H201">
        <v>65488.765619999998</v>
      </c>
      <c r="J201">
        <v>201797.92189999999</v>
      </c>
      <c r="K201">
        <v>99943.421879999994</v>
      </c>
      <c r="L201">
        <v>56863.304689999997</v>
      </c>
      <c r="M201">
        <v>53892.203119999998</v>
      </c>
      <c r="O201">
        <v>40379.351560000003</v>
      </c>
      <c r="Q201">
        <v>77183.515620000006</v>
      </c>
      <c r="R201" s="2" t="s">
        <v>286</v>
      </c>
      <c r="S201" s="4" t="s">
        <v>422</v>
      </c>
      <c r="T201">
        <f t="shared" si="123"/>
        <v>5.1882629607345612</v>
      </c>
      <c r="U201">
        <f t="shared" si="124"/>
        <v>4.9706256677661464</v>
      </c>
      <c r="V201" t="e">
        <f t="shared" si="125"/>
        <v>#NUM!</v>
      </c>
      <c r="W201">
        <f t="shared" si="126"/>
        <v>4.875480878609511</v>
      </c>
      <c r="X201">
        <f t="shared" si="127"/>
        <v>4.9933697447558218</v>
      </c>
      <c r="Y201">
        <f t="shared" si="128"/>
        <v>5.0277664347761295</v>
      </c>
      <c r="Z201">
        <f t="shared" si="129"/>
        <v>4.8161668046069233</v>
      </c>
      <c r="AA201" t="e">
        <f t="shared" si="130"/>
        <v>#NUM!</v>
      </c>
      <c r="AB201">
        <f t="shared" si="131"/>
        <v>5.304916689591626</v>
      </c>
      <c r="AC201">
        <f t="shared" si="132"/>
        <v>4.9997542148099976</v>
      </c>
      <c r="AD201">
        <f t="shared" si="133"/>
        <v>4.7548320957154155</v>
      </c>
      <c r="AE201">
        <f t="shared" si="134"/>
        <v>4.731525937971635</v>
      </c>
      <c r="AF201" t="e">
        <f t="shared" si="135"/>
        <v>#NUM!</v>
      </c>
      <c r="AG201">
        <f t="shared" si="136"/>
        <v>4.6061593404576699</v>
      </c>
      <c r="AH201" t="e">
        <f t="shared" si="137"/>
        <v>#NUM!</v>
      </c>
      <c r="AI201">
        <f t="shared" si="138"/>
        <v>4.8875245562980059</v>
      </c>
      <c r="AJ201" t="str">
        <f t="shared" si="139"/>
        <v>C00380</v>
      </c>
      <c r="AL201" t="e">
        <f t="shared" si="140"/>
        <v>#NUM!</v>
      </c>
      <c r="AM201" t="e">
        <f t="shared" si="141"/>
        <v>#NUM!</v>
      </c>
      <c r="AN201" t="e">
        <f t="shared" si="142"/>
        <v>#NUM!</v>
      </c>
      <c r="AO201" t="e">
        <f t="shared" si="143"/>
        <v>#NUM!</v>
      </c>
      <c r="AP201" t="e">
        <f t="shared" si="144"/>
        <v>#NUM!</v>
      </c>
      <c r="AQ201" t="e">
        <f t="shared" si="145"/>
        <v>#NUM!</v>
      </c>
      <c r="AR201" t="e">
        <f t="shared" si="146"/>
        <v>#NUM!</v>
      </c>
      <c r="AS201" t="e">
        <f t="shared" si="147"/>
        <v>#NUM!</v>
      </c>
      <c r="AT201" t="e">
        <f t="shared" si="148"/>
        <v>#NUM!</v>
      </c>
      <c r="AU201" t="e">
        <f t="shared" si="149"/>
        <v>#NUM!</v>
      </c>
      <c r="AV201" t="e">
        <f t="shared" si="150"/>
        <v>#NUM!</v>
      </c>
      <c r="AW201" t="e">
        <f t="shared" si="151"/>
        <v>#NUM!</v>
      </c>
      <c r="AX201" t="e">
        <f t="shared" si="152"/>
        <v>#NUM!</v>
      </c>
      <c r="AY201" t="e">
        <f t="shared" si="153"/>
        <v>#NUM!</v>
      </c>
      <c r="AZ201" t="e">
        <f t="shared" si="154"/>
        <v>#NUM!</v>
      </c>
      <c r="BA201" t="e">
        <f t="shared" si="155"/>
        <v>#NUM!</v>
      </c>
      <c r="BB201" t="e">
        <f t="shared" si="156"/>
        <v>#NUM!</v>
      </c>
      <c r="BC201" t="e">
        <f t="shared" si="157"/>
        <v>#NUM!</v>
      </c>
      <c r="BD201" t="str">
        <f t="shared" si="158"/>
        <v>C00380</v>
      </c>
    </row>
    <row r="202" spans="1:56" x14ac:dyDescent="0.2">
      <c r="A202" t="s">
        <v>100</v>
      </c>
      <c r="B202">
        <v>194048.92189999999</v>
      </c>
      <c r="C202">
        <v>109728.38280000001</v>
      </c>
      <c r="D202">
        <v>201171.5625</v>
      </c>
      <c r="E202">
        <v>109584.03909999999</v>
      </c>
      <c r="F202">
        <v>187170.67189999999</v>
      </c>
      <c r="G202">
        <v>95665.210940000004</v>
      </c>
      <c r="H202">
        <v>173279.125</v>
      </c>
      <c r="I202">
        <v>174271.73439999999</v>
      </c>
      <c r="J202">
        <v>208553.17189999999</v>
      </c>
      <c r="K202">
        <v>130265.5312</v>
      </c>
      <c r="L202">
        <v>174703.79689999999</v>
      </c>
      <c r="M202">
        <v>190634.5625</v>
      </c>
      <c r="N202">
        <v>147731.75</v>
      </c>
      <c r="O202">
        <v>193939.3438</v>
      </c>
      <c r="P202">
        <v>159127.35939999999</v>
      </c>
      <c r="Q202">
        <v>126288.6562</v>
      </c>
      <c r="R202" s="2" t="s">
        <v>101</v>
      </c>
      <c r="S202" s="4" t="s">
        <v>422</v>
      </c>
      <c r="T202">
        <f t="shared" si="123"/>
        <v>5.2879112342227401</v>
      </c>
      <c r="U202">
        <f t="shared" si="124"/>
        <v>5.0403189785234117</v>
      </c>
      <c r="V202">
        <f t="shared" si="125"/>
        <v>5.3035665890966124</v>
      </c>
      <c r="W202">
        <f t="shared" si="126"/>
        <v>5.0397473038237655</v>
      </c>
      <c r="X202">
        <f t="shared" si="127"/>
        <v>5.2722377993709086</v>
      </c>
      <c r="Y202">
        <f t="shared" si="128"/>
        <v>4.9807540334547271</v>
      </c>
      <c r="Z202">
        <f t="shared" si="129"/>
        <v>5.2387462462489784</v>
      </c>
      <c r="AA202">
        <f t="shared" si="130"/>
        <v>5.2412269534349525</v>
      </c>
      <c r="AB202">
        <f t="shared" si="131"/>
        <v>5.3192167994476929</v>
      </c>
      <c r="AC202">
        <f t="shared" si="132"/>
        <v>5.1148295147918361</v>
      </c>
      <c r="AD202">
        <f t="shared" si="133"/>
        <v>5.2423023437625496</v>
      </c>
      <c r="AE202">
        <f t="shared" si="134"/>
        <v>5.2802016420643572</v>
      </c>
      <c r="AF202">
        <f t="shared" si="135"/>
        <v>5.1694738424207385</v>
      </c>
      <c r="AG202">
        <f t="shared" si="136"/>
        <v>5.2876659218272897</v>
      </c>
      <c r="AH202">
        <f t="shared" si="137"/>
        <v>5.2017448560446127</v>
      </c>
      <c r="AI202">
        <f t="shared" si="138"/>
        <v>5.1013643420755264</v>
      </c>
      <c r="AJ202" t="str">
        <f t="shared" si="139"/>
        <v>C06414</v>
      </c>
      <c r="AL202">
        <f t="shared" si="140"/>
        <v>5.1950817750381688</v>
      </c>
      <c r="AM202">
        <f t="shared" si="141"/>
        <v>0.10763271767668273</v>
      </c>
      <c r="AN202">
        <f t="shared" si="142"/>
        <v>0.86246506813496204</v>
      </c>
      <c r="AO202">
        <f t="shared" si="143"/>
        <v>-1.4378787403626483</v>
      </c>
      <c r="AP202">
        <f t="shared" si="144"/>
        <v>1.0079167041412116</v>
      </c>
      <c r="AQ202">
        <f t="shared" si="145"/>
        <v>-1.4431900872466275</v>
      </c>
      <c r="AR202">
        <f t="shared" si="146"/>
        <v>0.71684545367058683</v>
      </c>
      <c r="AS202">
        <f t="shared" si="147"/>
        <v>-1.9912880229156669</v>
      </c>
      <c r="AT202">
        <f t="shared" si="148"/>
        <v>0.40568028154759661</v>
      </c>
      <c r="AU202">
        <f t="shared" si="149"/>
        <v>0.42872817292785353</v>
      </c>
      <c r="AV202">
        <f t="shared" si="150"/>
        <v>1.1533205431308771</v>
      </c>
      <c r="AW202">
        <f t="shared" si="151"/>
        <v>-0.74561213336080556</v>
      </c>
      <c r="AX202">
        <f t="shared" si="152"/>
        <v>0.43871946879782708</v>
      </c>
      <c r="AY202">
        <f t="shared" si="153"/>
        <v>0.79083636336192309</v>
      </c>
      <c r="AZ202">
        <f t="shared" si="154"/>
        <v>-0.23791959517694095</v>
      </c>
      <c r="BA202">
        <f t="shared" si="155"/>
        <v>0.86018590617802493</v>
      </c>
      <c r="BB202">
        <f t="shared" si="156"/>
        <v>6.1905721143816601E-2</v>
      </c>
      <c r="BC202">
        <f t="shared" si="157"/>
        <v>-0.8707151039720068</v>
      </c>
      <c r="BD202" t="str">
        <f t="shared" si="158"/>
        <v>C06414</v>
      </c>
    </row>
    <row r="203" spans="1:56" x14ac:dyDescent="0.2">
      <c r="A203" t="s">
        <v>99</v>
      </c>
      <c r="B203">
        <v>7503796.5</v>
      </c>
      <c r="C203">
        <v>8391358</v>
      </c>
      <c r="D203">
        <v>11767745</v>
      </c>
      <c r="E203">
        <v>7414420</v>
      </c>
      <c r="F203">
        <v>4628492.5</v>
      </c>
      <c r="G203">
        <v>8124538</v>
      </c>
      <c r="H203">
        <v>2787861.5</v>
      </c>
      <c r="I203">
        <v>5392541.5</v>
      </c>
      <c r="J203">
        <v>2258190.75</v>
      </c>
      <c r="K203">
        <v>740095</v>
      </c>
      <c r="L203">
        <v>775924.125</v>
      </c>
      <c r="M203">
        <v>1274640.5</v>
      </c>
      <c r="N203">
        <v>296244.65620000003</v>
      </c>
      <c r="O203">
        <v>749652.875</v>
      </c>
      <c r="P203">
        <v>707756.0625</v>
      </c>
      <c r="Q203">
        <v>438034.8125</v>
      </c>
      <c r="R203" s="2" t="s">
        <v>371</v>
      </c>
      <c r="S203" s="4" t="s">
        <v>422</v>
      </c>
      <c r="T203">
        <f t="shared" si="123"/>
        <v>6.8752810476357391</v>
      </c>
      <c r="U203">
        <f t="shared" si="124"/>
        <v>6.9238322497657112</v>
      </c>
      <c r="V203">
        <f t="shared" si="125"/>
        <v>7.0706932489196124</v>
      </c>
      <c r="W203">
        <f t="shared" si="126"/>
        <v>6.870077183597517</v>
      </c>
      <c r="X203">
        <f t="shared" si="127"/>
        <v>6.665439564335963</v>
      </c>
      <c r="Y203">
        <f t="shared" si="128"/>
        <v>6.909798674296411</v>
      </c>
      <c r="Z203">
        <f t="shared" si="129"/>
        <v>6.4452711943614709</v>
      </c>
      <c r="AA203">
        <f t="shared" si="130"/>
        <v>6.7317934960372892</v>
      </c>
      <c r="AB203">
        <f t="shared" si="131"/>
        <v>6.3537606241139688</v>
      </c>
      <c r="AC203">
        <f t="shared" si="132"/>
        <v>5.869287470173802</v>
      </c>
      <c r="AD203">
        <f t="shared" si="133"/>
        <v>5.8898192551436281</v>
      </c>
      <c r="AE203">
        <f t="shared" si="134"/>
        <v>6.1053877134903729</v>
      </c>
      <c r="AF203">
        <f t="shared" si="135"/>
        <v>5.471650525081337</v>
      </c>
      <c r="AG203">
        <f t="shared" si="136"/>
        <v>5.8748602108985049</v>
      </c>
      <c r="AH203">
        <f t="shared" si="137"/>
        <v>5.8498835981346611</v>
      </c>
      <c r="AI203">
        <f t="shared" si="138"/>
        <v>5.6415086271156394</v>
      </c>
      <c r="AJ203" t="str">
        <f t="shared" si="139"/>
        <v>C00294</v>
      </c>
      <c r="AL203">
        <f t="shared" si="140"/>
        <v>6.3467715426938511</v>
      </c>
      <c r="AM203">
        <f t="shared" si="141"/>
        <v>0.53007343358126346</v>
      </c>
      <c r="AN203">
        <f t="shared" si="142"/>
        <v>0.99704960003596232</v>
      </c>
      <c r="AO203">
        <f t="shared" si="143"/>
        <v>1.0886429511721476</v>
      </c>
      <c r="AP203">
        <f t="shared" si="144"/>
        <v>1.3657007885394801</v>
      </c>
      <c r="AQ203">
        <f t="shared" si="145"/>
        <v>0.98723234886179201</v>
      </c>
      <c r="AR203">
        <f t="shared" si="146"/>
        <v>0.60117712274153823</v>
      </c>
      <c r="AS203">
        <f t="shared" si="147"/>
        <v>1.0621681750746417</v>
      </c>
      <c r="AT203">
        <f t="shared" si="148"/>
        <v>0.1858226529145969</v>
      </c>
      <c r="AU203">
        <f t="shared" si="149"/>
        <v>0.72635587628334108</v>
      </c>
      <c r="AV203">
        <f t="shared" si="150"/>
        <v>1.31851192256482E-2</v>
      </c>
      <c r="AW203">
        <f t="shared" si="151"/>
        <v>-0.90078853658838931</v>
      </c>
      <c r="AX203">
        <f t="shared" si="152"/>
        <v>-0.86205468639123839</v>
      </c>
      <c r="AY203">
        <f t="shared" si="153"/>
        <v>-0.45537809275339325</v>
      </c>
      <c r="AZ203">
        <f t="shared" si="154"/>
        <v>-1.6509429867104495</v>
      </c>
      <c r="BA203">
        <f t="shared" si="155"/>
        <v>-0.89027538808544993</v>
      </c>
      <c r="BB203">
        <f t="shared" si="156"/>
        <v>-0.93739454400144751</v>
      </c>
      <c r="BC203">
        <f t="shared" si="157"/>
        <v>-1.3305004003187619</v>
      </c>
      <c r="BD203" t="str">
        <f t="shared" si="158"/>
        <v>C00294</v>
      </c>
    </row>
    <row r="204" spans="1:56" x14ac:dyDescent="0.2">
      <c r="A204" t="s">
        <v>99</v>
      </c>
      <c r="B204">
        <v>30693230</v>
      </c>
      <c r="C204">
        <v>29870106</v>
      </c>
      <c r="D204">
        <v>34519372</v>
      </c>
      <c r="E204">
        <v>26429282</v>
      </c>
      <c r="F204">
        <v>24142754</v>
      </c>
      <c r="G204">
        <v>28505006</v>
      </c>
      <c r="H204">
        <v>14113973</v>
      </c>
      <c r="I204">
        <v>22052614</v>
      </c>
      <c r="J204">
        <v>14094011</v>
      </c>
      <c r="K204">
        <v>7217469</v>
      </c>
      <c r="L204">
        <v>7709821.5</v>
      </c>
      <c r="M204">
        <v>9762072</v>
      </c>
      <c r="N204">
        <v>4180257</v>
      </c>
      <c r="O204">
        <v>7322640.5</v>
      </c>
      <c r="P204">
        <v>7242716</v>
      </c>
      <c r="Q204">
        <v>5268104</v>
      </c>
      <c r="R204" s="2" t="s">
        <v>371</v>
      </c>
      <c r="S204" s="4" t="s">
        <v>422</v>
      </c>
      <c r="T204">
        <f t="shared" si="123"/>
        <v>7.4870425937874332</v>
      </c>
      <c r="U204">
        <f t="shared" si="124"/>
        <v>7.4752367637870343</v>
      </c>
      <c r="V204">
        <f t="shared" si="125"/>
        <v>7.5380628861331047</v>
      </c>
      <c r="W204">
        <f t="shared" si="126"/>
        <v>7.4220853648845067</v>
      </c>
      <c r="X204">
        <f t="shared" si="127"/>
        <v>7.3827868092071931</v>
      </c>
      <c r="Y204">
        <f t="shared" si="128"/>
        <v>7.4549211367545212</v>
      </c>
      <c r="Z204">
        <f t="shared" si="129"/>
        <v>7.1496492822944999</v>
      </c>
      <c r="AA204">
        <f t="shared" si="130"/>
        <v>7.3434600758215458</v>
      </c>
      <c r="AB204">
        <f t="shared" si="131"/>
        <v>7.1490346061166514</v>
      </c>
      <c r="AC204">
        <f t="shared" si="132"/>
        <v>6.8583849272035584</v>
      </c>
      <c r="AD204">
        <f t="shared" si="133"/>
        <v>6.8870443232568697</v>
      </c>
      <c r="AE204">
        <f t="shared" si="134"/>
        <v>6.989542006464057</v>
      </c>
      <c r="AF204">
        <f t="shared" si="135"/>
        <v>6.6212029827919743</v>
      </c>
      <c r="AG204">
        <f t="shared" si="136"/>
        <v>6.8646677132712632</v>
      </c>
      <c r="AH204">
        <f t="shared" si="137"/>
        <v>6.8599014560620972</v>
      </c>
      <c r="AI204">
        <f t="shared" si="138"/>
        <v>6.721654339976209</v>
      </c>
      <c r="AJ204" t="str">
        <f t="shared" si="139"/>
        <v>C00294</v>
      </c>
      <c r="AL204">
        <f t="shared" si="140"/>
        <v>7.137792329238283</v>
      </c>
      <c r="AM204">
        <f t="shared" si="141"/>
        <v>0.30928085463323018</v>
      </c>
      <c r="AN204">
        <f t="shared" si="142"/>
        <v>1.1292333790377</v>
      </c>
      <c r="AO204">
        <f t="shared" si="143"/>
        <v>1.0910615044339544</v>
      </c>
      <c r="AP204">
        <f t="shared" si="144"/>
        <v>1.2941976552977854</v>
      </c>
      <c r="AQ204">
        <f t="shared" si="145"/>
        <v>0.91920670609682886</v>
      </c>
      <c r="AR204">
        <f t="shared" si="146"/>
        <v>0.79214240486836485</v>
      </c>
      <c r="AS204">
        <f t="shared" si="147"/>
        <v>1.025374842203908</v>
      </c>
      <c r="AT204">
        <f t="shared" si="148"/>
        <v>3.833717114587594E-2</v>
      </c>
      <c r="AU204">
        <f t="shared" si="149"/>
        <v>0.6649869964539511</v>
      </c>
      <c r="AV204">
        <f t="shared" si="150"/>
        <v>3.6349734262408236E-2</v>
      </c>
      <c r="AW204">
        <f t="shared" si="151"/>
        <v>-0.90340995198706397</v>
      </c>
      <c r="AX204">
        <f t="shared" si="152"/>
        <v>-0.81074532168753299</v>
      </c>
      <c r="AY204">
        <f t="shared" si="153"/>
        <v>-0.47933882926582383</v>
      </c>
      <c r="AZ204">
        <f t="shared" si="154"/>
        <v>-1.6702920297440378</v>
      </c>
      <c r="BA204">
        <f t="shared" si="155"/>
        <v>-0.88309577484488211</v>
      </c>
      <c r="BB204">
        <f t="shared" si="156"/>
        <v>-0.89850654837891875</v>
      </c>
      <c r="BC204">
        <f t="shared" si="157"/>
        <v>-1.3455019378925459</v>
      </c>
      <c r="BD204" t="str">
        <f t="shared" si="158"/>
        <v>C00294</v>
      </c>
    </row>
    <row r="205" spans="1:56" x14ac:dyDescent="0.2">
      <c r="A205" t="s">
        <v>287</v>
      </c>
      <c r="B205">
        <v>60966.757810000003</v>
      </c>
      <c r="C205">
        <v>53012.828119999998</v>
      </c>
      <c r="E205">
        <v>40413.730470000002</v>
      </c>
      <c r="G205">
        <v>60930.121090000001</v>
      </c>
      <c r="I205">
        <v>50547.015619999998</v>
      </c>
      <c r="J205">
        <v>33836.0625</v>
      </c>
      <c r="R205" s="2" t="s">
        <v>288</v>
      </c>
      <c r="S205" s="4" t="s">
        <v>422</v>
      </c>
      <c r="T205">
        <f t="shared" si="123"/>
        <v>4.7850931000134596</v>
      </c>
      <c r="U205">
        <f t="shared" si="124"/>
        <v>4.7243809735180262</v>
      </c>
      <c r="V205" t="e">
        <f t="shared" si="125"/>
        <v>#NUM!</v>
      </c>
      <c r="W205">
        <f t="shared" si="126"/>
        <v>4.6065289407113754</v>
      </c>
      <c r="X205" t="e">
        <f t="shared" si="127"/>
        <v>#NUM!</v>
      </c>
      <c r="Y205">
        <f t="shared" si="128"/>
        <v>4.7848320412241989</v>
      </c>
      <c r="Z205" t="e">
        <f t="shared" si="129"/>
        <v>#NUM!</v>
      </c>
      <c r="AA205">
        <f t="shared" si="130"/>
        <v>4.7036955192143175</v>
      </c>
      <c r="AB205">
        <f t="shared" si="131"/>
        <v>4.5293798184917815</v>
      </c>
      <c r="AC205" t="e">
        <f t="shared" si="132"/>
        <v>#NUM!</v>
      </c>
      <c r="AD205" t="e">
        <f t="shared" si="133"/>
        <v>#NUM!</v>
      </c>
      <c r="AE205" t="e">
        <f t="shared" si="134"/>
        <v>#NUM!</v>
      </c>
      <c r="AF205" t="e">
        <f t="shared" si="135"/>
        <v>#NUM!</v>
      </c>
      <c r="AG205" t="e">
        <f t="shared" si="136"/>
        <v>#NUM!</v>
      </c>
      <c r="AH205" t="e">
        <f t="shared" si="137"/>
        <v>#NUM!</v>
      </c>
      <c r="AI205" t="e">
        <f t="shared" si="138"/>
        <v>#NUM!</v>
      </c>
      <c r="AJ205" t="str">
        <f t="shared" si="139"/>
        <v>C00398</v>
      </c>
      <c r="AL205" t="e">
        <f t="shared" si="140"/>
        <v>#NUM!</v>
      </c>
      <c r="AM205" t="e">
        <f t="shared" si="141"/>
        <v>#NUM!</v>
      </c>
      <c r="AN205" t="e">
        <f t="shared" si="142"/>
        <v>#NUM!</v>
      </c>
      <c r="AO205" t="e">
        <f t="shared" si="143"/>
        <v>#NUM!</v>
      </c>
      <c r="AP205" t="e">
        <f t="shared" si="144"/>
        <v>#NUM!</v>
      </c>
      <c r="AQ205" t="e">
        <f t="shared" si="145"/>
        <v>#NUM!</v>
      </c>
      <c r="AR205" t="e">
        <f t="shared" si="146"/>
        <v>#NUM!</v>
      </c>
      <c r="AS205" t="e">
        <f t="shared" si="147"/>
        <v>#NUM!</v>
      </c>
      <c r="AT205" t="e">
        <f t="shared" si="148"/>
        <v>#NUM!</v>
      </c>
      <c r="AU205" t="e">
        <f t="shared" si="149"/>
        <v>#NUM!</v>
      </c>
      <c r="AV205" t="e">
        <f t="shared" si="150"/>
        <v>#NUM!</v>
      </c>
      <c r="AW205" t="e">
        <f t="shared" si="151"/>
        <v>#NUM!</v>
      </c>
      <c r="AX205" t="e">
        <f t="shared" si="152"/>
        <v>#NUM!</v>
      </c>
      <c r="AY205" t="e">
        <f t="shared" si="153"/>
        <v>#NUM!</v>
      </c>
      <c r="AZ205" t="e">
        <f t="shared" si="154"/>
        <v>#NUM!</v>
      </c>
      <c r="BA205" t="e">
        <f t="shared" si="155"/>
        <v>#NUM!</v>
      </c>
      <c r="BB205" t="e">
        <f t="shared" si="156"/>
        <v>#NUM!</v>
      </c>
      <c r="BC205" t="e">
        <f t="shared" si="157"/>
        <v>#NUM!</v>
      </c>
      <c r="BD205" t="str">
        <f t="shared" si="158"/>
        <v>C00398</v>
      </c>
    </row>
    <row r="206" spans="1:56" x14ac:dyDescent="0.2">
      <c r="A206" t="s">
        <v>289</v>
      </c>
      <c r="B206">
        <v>139541.54689999999</v>
      </c>
      <c r="C206">
        <v>56921.742189999997</v>
      </c>
      <c r="D206">
        <v>303800.90620000003</v>
      </c>
      <c r="E206">
        <v>169499.625</v>
      </c>
      <c r="F206">
        <v>138940.0938</v>
      </c>
      <c r="G206">
        <v>128237.0156</v>
      </c>
      <c r="H206">
        <v>181068.3438</v>
      </c>
      <c r="I206">
        <v>228118.9375</v>
      </c>
      <c r="L206">
        <v>102217.61719999999</v>
      </c>
      <c r="P206">
        <v>30610.578119999998</v>
      </c>
      <c r="R206" s="2" t="s">
        <v>403</v>
      </c>
      <c r="S206" s="4" t="s">
        <v>422</v>
      </c>
      <c r="T206">
        <f t="shared" si="123"/>
        <v>5.1447035330792028</v>
      </c>
      <c r="U206">
        <f t="shared" si="124"/>
        <v>4.7552781839618676</v>
      </c>
      <c r="V206">
        <f t="shared" si="125"/>
        <v>5.4825890649746691</v>
      </c>
      <c r="W206">
        <f t="shared" si="126"/>
        <v>5.2291687417095387</v>
      </c>
      <c r="X206">
        <f t="shared" si="127"/>
        <v>5.1428275877354626</v>
      </c>
      <c r="Y206">
        <f t="shared" si="128"/>
        <v>5.1080134023316344</v>
      </c>
      <c r="Z206">
        <f t="shared" si="129"/>
        <v>5.2578425291947868</v>
      </c>
      <c r="AA206">
        <f t="shared" si="130"/>
        <v>5.3581613401225994</v>
      </c>
      <c r="AB206" t="e">
        <f t="shared" si="131"/>
        <v>#NUM!</v>
      </c>
      <c r="AC206" t="e">
        <f t="shared" si="132"/>
        <v>#NUM!</v>
      </c>
      <c r="AD206">
        <f t="shared" si="133"/>
        <v>5.0095257528767707</v>
      </c>
      <c r="AE206" t="e">
        <f t="shared" si="134"/>
        <v>#NUM!</v>
      </c>
      <c r="AF206" t="e">
        <f t="shared" si="135"/>
        <v>#NUM!</v>
      </c>
      <c r="AG206" t="e">
        <f t="shared" si="136"/>
        <v>#NUM!</v>
      </c>
      <c r="AH206">
        <f t="shared" si="137"/>
        <v>4.4858715318826965</v>
      </c>
      <c r="AI206" t="e">
        <f t="shared" si="138"/>
        <v>#NUM!</v>
      </c>
      <c r="AJ206" t="str">
        <f t="shared" si="139"/>
        <v>C00881</v>
      </c>
      <c r="AL206" t="e">
        <f t="shared" si="140"/>
        <v>#NUM!</v>
      </c>
      <c r="AM206" t="e">
        <f t="shared" si="141"/>
        <v>#NUM!</v>
      </c>
      <c r="AN206" t="e">
        <f t="shared" si="142"/>
        <v>#NUM!</v>
      </c>
      <c r="AO206" t="e">
        <f t="shared" si="143"/>
        <v>#NUM!</v>
      </c>
      <c r="AP206" t="e">
        <f t="shared" si="144"/>
        <v>#NUM!</v>
      </c>
      <c r="AQ206" t="e">
        <f t="shared" si="145"/>
        <v>#NUM!</v>
      </c>
      <c r="AR206" t="e">
        <f t="shared" si="146"/>
        <v>#NUM!</v>
      </c>
      <c r="AS206" t="e">
        <f t="shared" si="147"/>
        <v>#NUM!</v>
      </c>
      <c r="AT206" t="e">
        <f t="shared" si="148"/>
        <v>#NUM!</v>
      </c>
      <c r="AU206" t="e">
        <f t="shared" si="149"/>
        <v>#NUM!</v>
      </c>
      <c r="AV206" t="e">
        <f t="shared" si="150"/>
        <v>#NUM!</v>
      </c>
      <c r="AW206" t="e">
        <f t="shared" si="151"/>
        <v>#NUM!</v>
      </c>
      <c r="AX206" t="e">
        <f t="shared" si="152"/>
        <v>#NUM!</v>
      </c>
      <c r="AY206" t="e">
        <f t="shared" si="153"/>
        <v>#NUM!</v>
      </c>
      <c r="AZ206" t="e">
        <f t="shared" si="154"/>
        <v>#NUM!</v>
      </c>
      <c r="BA206" t="e">
        <f t="shared" si="155"/>
        <v>#NUM!</v>
      </c>
      <c r="BB206" t="e">
        <f t="shared" si="156"/>
        <v>#NUM!</v>
      </c>
      <c r="BC206" t="e">
        <f t="shared" si="157"/>
        <v>#NUM!</v>
      </c>
      <c r="BD206" t="str">
        <f t="shared" si="158"/>
        <v>C00881</v>
      </c>
    </row>
    <row r="207" spans="1:56" x14ac:dyDescent="0.2">
      <c r="A207" t="s">
        <v>102</v>
      </c>
      <c r="B207">
        <v>2786591.75</v>
      </c>
      <c r="C207">
        <v>3480388.25</v>
      </c>
      <c r="D207">
        <v>2130419.75</v>
      </c>
      <c r="E207">
        <v>1963696.5</v>
      </c>
      <c r="F207">
        <v>3083738.25</v>
      </c>
      <c r="G207">
        <v>2151349.25</v>
      </c>
      <c r="H207">
        <v>2362457.75</v>
      </c>
      <c r="I207">
        <v>2782867.25</v>
      </c>
      <c r="J207">
        <v>3704631.5</v>
      </c>
      <c r="K207">
        <v>2358868.75</v>
      </c>
      <c r="L207">
        <v>2653312.75</v>
      </c>
      <c r="M207">
        <v>3291519.25</v>
      </c>
      <c r="N207">
        <v>1023746.688</v>
      </c>
      <c r="O207">
        <v>1750093</v>
      </c>
      <c r="P207">
        <v>1166225.25</v>
      </c>
      <c r="Q207">
        <v>1276198.875</v>
      </c>
      <c r="R207" s="2" t="s">
        <v>372</v>
      </c>
      <c r="S207" s="4" t="s">
        <v>422</v>
      </c>
      <c r="T207">
        <f t="shared" si="123"/>
        <v>6.4450733470020252</v>
      </c>
      <c r="U207">
        <f t="shared" si="124"/>
        <v>6.541627693782055</v>
      </c>
      <c r="V207">
        <f t="shared" si="125"/>
        <v>6.3284651795650664</v>
      </c>
      <c r="W207">
        <f t="shared" si="126"/>
        <v>6.2930743660575583</v>
      </c>
      <c r="X207">
        <f t="shared" si="127"/>
        <v>6.4890775077041534</v>
      </c>
      <c r="Y207">
        <f t="shared" si="128"/>
        <v>6.3327109194695126</v>
      </c>
      <c r="Z207">
        <f t="shared" si="129"/>
        <v>6.3733640503639739</v>
      </c>
      <c r="AA207">
        <f t="shared" si="130"/>
        <v>6.4444924898527134</v>
      </c>
      <c r="AB207">
        <f t="shared" si="131"/>
        <v>6.5687450151558897</v>
      </c>
      <c r="AC207">
        <f t="shared" si="132"/>
        <v>6.3727037769447206</v>
      </c>
      <c r="AD207">
        <f t="shared" si="133"/>
        <v>6.4237884439491273</v>
      </c>
      <c r="AE207">
        <f t="shared" si="134"/>
        <v>6.5173963993473834</v>
      </c>
      <c r="AF207">
        <f t="shared" si="135"/>
        <v>6.010192509751966</v>
      </c>
      <c r="AG207">
        <f t="shared" si="136"/>
        <v>6.2430611277226662</v>
      </c>
      <c r="AH207">
        <f t="shared" si="137"/>
        <v>6.0667824401179145</v>
      </c>
      <c r="AI207">
        <f t="shared" si="138"/>
        <v>6.1059183574455114</v>
      </c>
      <c r="AJ207" t="str">
        <f t="shared" si="139"/>
        <v>C00253</v>
      </c>
      <c r="AL207">
        <f t="shared" si="140"/>
        <v>6.3472796015145159</v>
      </c>
      <c r="AM207">
        <f t="shared" si="141"/>
        <v>0.16871798479309402</v>
      </c>
      <c r="AN207">
        <f t="shared" si="142"/>
        <v>0.57962845874100433</v>
      </c>
      <c r="AO207">
        <f t="shared" si="143"/>
        <v>1.1519109388716111</v>
      </c>
      <c r="AP207">
        <f t="shared" si="144"/>
        <v>-0.11151402722431997</v>
      </c>
      <c r="AQ207">
        <f t="shared" si="145"/>
        <v>-0.3212771627365732</v>
      </c>
      <c r="AR207">
        <f t="shared" si="146"/>
        <v>0.84044333722649811</v>
      </c>
      <c r="AS207">
        <f t="shared" si="147"/>
        <v>-8.634931280663094E-2</v>
      </c>
      <c r="AT207">
        <f t="shared" si="148"/>
        <v>0.15460384310212394</v>
      </c>
      <c r="AU207">
        <f t="shared" si="149"/>
        <v>0.5761856891392686</v>
      </c>
      <c r="AV207">
        <f t="shared" si="150"/>
        <v>1.3126366694870508</v>
      </c>
      <c r="AW207">
        <f t="shared" si="151"/>
        <v>0.15069036926551391</v>
      </c>
      <c r="AX207">
        <f t="shared" si="152"/>
        <v>0.45347176549339091</v>
      </c>
      <c r="AY207">
        <f t="shared" si="153"/>
        <v>1.0082908353930904</v>
      </c>
      <c r="AZ207">
        <f t="shared" si="154"/>
        <v>-1.9979321835543142</v>
      </c>
      <c r="BA207">
        <f t="shared" si="155"/>
        <v>-0.61770814723550183</v>
      </c>
      <c r="BB207">
        <f t="shared" si="156"/>
        <v>-1.6625208138929997</v>
      </c>
      <c r="BC207">
        <f t="shared" si="157"/>
        <v>-1.4305602592693125</v>
      </c>
      <c r="BD207" t="str">
        <f t="shared" si="158"/>
        <v>C00253</v>
      </c>
    </row>
    <row r="208" spans="1:56" x14ac:dyDescent="0.2">
      <c r="A208" t="s">
        <v>105</v>
      </c>
      <c r="B208">
        <v>2786591.75</v>
      </c>
      <c r="C208">
        <v>3480388.25</v>
      </c>
      <c r="D208">
        <v>2130419.75</v>
      </c>
      <c r="E208">
        <v>1963696.5</v>
      </c>
      <c r="F208">
        <v>3083738.25</v>
      </c>
      <c r="G208">
        <v>2151349.25</v>
      </c>
      <c r="H208">
        <v>2362457.75</v>
      </c>
      <c r="I208">
        <v>2782867.25</v>
      </c>
      <c r="J208">
        <v>3704631.5</v>
      </c>
      <c r="K208">
        <v>2358868.75</v>
      </c>
      <c r="L208">
        <v>2653312.75</v>
      </c>
      <c r="M208">
        <v>3291519.25</v>
      </c>
      <c r="N208">
        <v>1023746.688</v>
      </c>
      <c r="O208">
        <v>1750093</v>
      </c>
      <c r="P208">
        <v>1166225.25</v>
      </c>
      <c r="Q208">
        <v>1276198.875</v>
      </c>
      <c r="R208" s="2" t="s">
        <v>106</v>
      </c>
      <c r="S208" s="4" t="s">
        <v>422</v>
      </c>
      <c r="T208">
        <f t="shared" si="123"/>
        <v>6.4450733470020252</v>
      </c>
      <c r="U208">
        <f t="shared" si="124"/>
        <v>6.541627693782055</v>
      </c>
      <c r="V208">
        <f t="shared" si="125"/>
        <v>6.3284651795650664</v>
      </c>
      <c r="W208">
        <f t="shared" si="126"/>
        <v>6.2930743660575583</v>
      </c>
      <c r="X208">
        <f t="shared" si="127"/>
        <v>6.4890775077041534</v>
      </c>
      <c r="Y208">
        <f t="shared" si="128"/>
        <v>6.3327109194695126</v>
      </c>
      <c r="Z208">
        <f t="shared" si="129"/>
        <v>6.3733640503639739</v>
      </c>
      <c r="AA208">
        <f t="shared" si="130"/>
        <v>6.4444924898527134</v>
      </c>
      <c r="AB208">
        <f t="shared" si="131"/>
        <v>6.5687450151558897</v>
      </c>
      <c r="AC208">
        <f t="shared" si="132"/>
        <v>6.3727037769447206</v>
      </c>
      <c r="AD208">
        <f t="shared" si="133"/>
        <v>6.4237884439491273</v>
      </c>
      <c r="AE208">
        <f t="shared" si="134"/>
        <v>6.5173963993473834</v>
      </c>
      <c r="AF208">
        <f t="shared" si="135"/>
        <v>6.010192509751966</v>
      </c>
      <c r="AG208">
        <f t="shared" si="136"/>
        <v>6.2430611277226662</v>
      </c>
      <c r="AH208">
        <f t="shared" si="137"/>
        <v>6.0667824401179145</v>
      </c>
      <c r="AI208">
        <f t="shared" si="138"/>
        <v>6.1059183574455114</v>
      </c>
      <c r="AJ208" t="str">
        <f t="shared" si="139"/>
        <v>C07446</v>
      </c>
      <c r="AL208">
        <f t="shared" si="140"/>
        <v>6.3472796015145159</v>
      </c>
      <c r="AM208">
        <f t="shared" si="141"/>
        <v>0.16871798479309402</v>
      </c>
      <c r="AN208">
        <f t="shared" si="142"/>
        <v>0.57962845874100433</v>
      </c>
      <c r="AO208">
        <f t="shared" si="143"/>
        <v>1.1519109388716111</v>
      </c>
      <c r="AP208">
        <f t="shared" si="144"/>
        <v>-0.11151402722431997</v>
      </c>
      <c r="AQ208">
        <f t="shared" si="145"/>
        <v>-0.3212771627365732</v>
      </c>
      <c r="AR208">
        <f t="shared" si="146"/>
        <v>0.84044333722649811</v>
      </c>
      <c r="AS208">
        <f t="shared" si="147"/>
        <v>-8.634931280663094E-2</v>
      </c>
      <c r="AT208">
        <f t="shared" si="148"/>
        <v>0.15460384310212394</v>
      </c>
      <c r="AU208">
        <f t="shared" si="149"/>
        <v>0.5761856891392686</v>
      </c>
      <c r="AV208">
        <f t="shared" si="150"/>
        <v>1.3126366694870508</v>
      </c>
      <c r="AW208">
        <f t="shared" si="151"/>
        <v>0.15069036926551391</v>
      </c>
      <c r="AX208">
        <f t="shared" si="152"/>
        <v>0.45347176549339091</v>
      </c>
      <c r="AY208">
        <f t="shared" si="153"/>
        <v>1.0082908353930904</v>
      </c>
      <c r="AZ208">
        <f t="shared" si="154"/>
        <v>-1.9979321835543142</v>
      </c>
      <c r="BA208">
        <f t="shared" si="155"/>
        <v>-0.61770814723550183</v>
      </c>
      <c r="BB208">
        <f t="shared" si="156"/>
        <v>-1.6625208138929997</v>
      </c>
      <c r="BC208">
        <f t="shared" si="157"/>
        <v>-1.4305602592693125</v>
      </c>
      <c r="BD208" t="str">
        <f t="shared" si="158"/>
        <v>C07446</v>
      </c>
    </row>
    <row r="209" spans="1:56" x14ac:dyDescent="0.2">
      <c r="A209" t="s">
        <v>109</v>
      </c>
      <c r="B209">
        <v>22853902</v>
      </c>
      <c r="C209">
        <v>8710160</v>
      </c>
      <c r="D209">
        <v>18470796</v>
      </c>
      <c r="E209">
        <v>11938898</v>
      </c>
      <c r="F209">
        <v>26803720</v>
      </c>
      <c r="G209">
        <v>11066731</v>
      </c>
      <c r="H209">
        <v>11583337</v>
      </c>
      <c r="I209">
        <v>11609735</v>
      </c>
      <c r="J209">
        <v>48648156</v>
      </c>
      <c r="K209">
        <v>12783486</v>
      </c>
      <c r="L209">
        <v>8412795</v>
      </c>
      <c r="M209">
        <v>10634810</v>
      </c>
      <c r="N209">
        <v>16015545</v>
      </c>
      <c r="O209">
        <v>20118006</v>
      </c>
      <c r="P209">
        <v>14861180</v>
      </c>
      <c r="Q209">
        <v>19891380</v>
      </c>
      <c r="R209" s="2" t="s">
        <v>110</v>
      </c>
      <c r="S209" s="4" t="s">
        <v>422</v>
      </c>
      <c r="T209">
        <f t="shared" si="123"/>
        <v>7.3589603607469405</v>
      </c>
      <c r="U209">
        <f t="shared" si="124"/>
        <v>6.9400261327893951</v>
      </c>
      <c r="V209">
        <f t="shared" si="125"/>
        <v>7.2664856117888359</v>
      </c>
      <c r="W209">
        <f t="shared" si="126"/>
        <v>7.0769642418179552</v>
      </c>
      <c r="X209">
        <f t="shared" si="127"/>
        <v>7.4281950725122696</v>
      </c>
      <c r="Y209">
        <f t="shared" si="128"/>
        <v>7.0440193536407403</v>
      </c>
      <c r="Z209">
        <f t="shared" si="129"/>
        <v>7.0638336916809603</v>
      </c>
      <c r="AA209">
        <f t="shared" si="130"/>
        <v>7.0648223067884297</v>
      </c>
      <c r="AB209">
        <f t="shared" si="131"/>
        <v>7.687066383058589</v>
      </c>
      <c r="AC209">
        <f t="shared" si="132"/>
        <v>7.1066493001542552</v>
      </c>
      <c r="AD209">
        <f t="shared" si="133"/>
        <v>6.9249403063108907</v>
      </c>
      <c r="AE209">
        <f t="shared" si="134"/>
        <v>7.0267297352647313</v>
      </c>
      <c r="AF209">
        <f t="shared" si="135"/>
        <v>7.2045417220485684</v>
      </c>
      <c r="AG209">
        <f t="shared" si="136"/>
        <v>7.3035849333365963</v>
      </c>
      <c r="AH209">
        <f t="shared" si="137"/>
        <v>7.1720532944274344</v>
      </c>
      <c r="AI209">
        <f t="shared" si="138"/>
        <v>7.2986649141246804</v>
      </c>
      <c r="AJ209" t="str">
        <f t="shared" si="139"/>
        <v>C00242</v>
      </c>
      <c r="AL209">
        <f t="shared" si="140"/>
        <v>7.1854710850307049</v>
      </c>
      <c r="AM209">
        <f t="shared" si="141"/>
        <v>0.19918959502138614</v>
      </c>
      <c r="AN209">
        <f t="shared" si="142"/>
        <v>0.87097559336675601</v>
      </c>
      <c r="AO209">
        <f t="shared" si="143"/>
        <v>-1.2322177381552355</v>
      </c>
      <c r="AP209">
        <f t="shared" si="144"/>
        <v>0.40672067609471696</v>
      </c>
      <c r="AQ209">
        <f t="shared" si="145"/>
        <v>-0.54474152227228378</v>
      </c>
      <c r="AR209">
        <f t="shared" si="146"/>
        <v>1.2185575629866836</v>
      </c>
      <c r="AS209">
        <f t="shared" si="147"/>
        <v>-0.71013614629206667</v>
      </c>
      <c r="AT209">
        <f t="shared" si="148"/>
        <v>-0.6106613818692932</v>
      </c>
      <c r="AU209">
        <f t="shared" si="149"/>
        <v>-0.60569819537672942</v>
      </c>
      <c r="AV209">
        <f t="shared" si="150"/>
        <v>2.5181802190723368</v>
      </c>
      <c r="AW209">
        <f t="shared" si="151"/>
        <v>-0.39571236071837429</v>
      </c>
      <c r="AX209">
        <f t="shared" si="152"/>
        <v>-1.3079537547723918</v>
      </c>
      <c r="AY209">
        <f t="shared" si="153"/>
        <v>-0.79693595315021426</v>
      </c>
      <c r="AZ209">
        <f t="shared" si="154"/>
        <v>9.5741130533529908E-2</v>
      </c>
      <c r="BA209">
        <f t="shared" si="155"/>
        <v>0.59297197874823759</v>
      </c>
      <c r="BB209">
        <f t="shared" si="156"/>
        <v>-6.7361905132794747E-2</v>
      </c>
      <c r="BC209">
        <f t="shared" si="157"/>
        <v>0.56827179693709617</v>
      </c>
      <c r="BD209" t="str">
        <f t="shared" si="158"/>
        <v>C00242</v>
      </c>
    </row>
    <row r="210" spans="1:56" x14ac:dyDescent="0.2">
      <c r="A210" t="s">
        <v>111</v>
      </c>
      <c r="B210">
        <v>20206602</v>
      </c>
      <c r="C210">
        <v>14168975</v>
      </c>
      <c r="D210">
        <v>14160724</v>
      </c>
      <c r="E210">
        <v>11259431</v>
      </c>
      <c r="F210">
        <v>26297246</v>
      </c>
      <c r="G210">
        <v>13270254</v>
      </c>
      <c r="H210">
        <v>12575151</v>
      </c>
      <c r="I210">
        <v>13597879</v>
      </c>
      <c r="J210">
        <v>17667994</v>
      </c>
      <c r="K210">
        <v>9024886</v>
      </c>
      <c r="L210">
        <v>13262206</v>
      </c>
      <c r="M210">
        <v>15797071</v>
      </c>
      <c r="N210">
        <v>15884823</v>
      </c>
      <c r="O210">
        <v>22638324</v>
      </c>
      <c r="P210">
        <v>20204682</v>
      </c>
      <c r="Q210">
        <v>15358361</v>
      </c>
      <c r="R210" s="2" t="s">
        <v>374</v>
      </c>
      <c r="S210" s="4" t="s">
        <v>422</v>
      </c>
      <c r="T210">
        <f t="shared" si="123"/>
        <v>7.3054932874527472</v>
      </c>
      <c r="U210">
        <f t="shared" si="124"/>
        <v>7.1513384340198698</v>
      </c>
      <c r="V210">
        <f t="shared" si="125"/>
        <v>7.1510854582384109</v>
      </c>
      <c r="W210">
        <f t="shared" si="126"/>
        <v>7.0515164438186941</v>
      </c>
      <c r="X210">
        <f t="shared" si="127"/>
        <v>7.4199102690361665</v>
      </c>
      <c r="Y210">
        <f t="shared" si="128"/>
        <v>7.1228792355805393</v>
      </c>
      <c r="Z210">
        <f t="shared" si="129"/>
        <v>7.0995132086840718</v>
      </c>
      <c r="AA210">
        <f t="shared" si="130"/>
        <v>7.1334711723090356</v>
      </c>
      <c r="AB210">
        <f t="shared" si="131"/>
        <v>7.2471872431012203</v>
      </c>
      <c r="AC210">
        <f t="shared" si="132"/>
        <v>6.9554417247180131</v>
      </c>
      <c r="AD210">
        <f t="shared" si="133"/>
        <v>7.122615769464125</v>
      </c>
      <c r="AE210">
        <f t="shared" si="134"/>
        <v>7.1985765700899869</v>
      </c>
      <c r="AF210">
        <f t="shared" si="135"/>
        <v>7.2009823799720065</v>
      </c>
      <c r="AG210">
        <f t="shared" si="136"/>
        <v>7.3548442712576314</v>
      </c>
      <c r="AH210">
        <f t="shared" si="137"/>
        <v>7.3054520195036332</v>
      </c>
      <c r="AI210">
        <f t="shared" si="138"/>
        <v>7.1863448715134899</v>
      </c>
      <c r="AJ210" t="str">
        <f t="shared" si="139"/>
        <v>C01132</v>
      </c>
      <c r="AL210">
        <f t="shared" si="140"/>
        <v>7.1879157724224774</v>
      </c>
      <c r="AM210">
        <f t="shared" si="141"/>
        <v>0.11768380746781497</v>
      </c>
      <c r="AN210">
        <f t="shared" si="142"/>
        <v>0.99909679640867988</v>
      </c>
      <c r="AO210">
        <f t="shared" si="143"/>
        <v>-0.3108102906392709</v>
      </c>
      <c r="AP210">
        <f t="shared" si="144"/>
        <v>-0.3129599133180585</v>
      </c>
      <c r="AQ210">
        <f t="shared" si="145"/>
        <v>-1.1590322537880728</v>
      </c>
      <c r="AR210">
        <f t="shared" si="146"/>
        <v>1.9713374473980769</v>
      </c>
      <c r="AS210">
        <f t="shared" si="147"/>
        <v>-0.55263793924856464</v>
      </c>
      <c r="AT210">
        <f t="shared" si="148"/>
        <v>-0.75118714834734235</v>
      </c>
      <c r="AU210">
        <f t="shared" si="149"/>
        <v>-0.46263459081515251</v>
      </c>
      <c r="AV210">
        <f t="shared" si="150"/>
        <v>0.50365017884854668</v>
      </c>
      <c r="AW210">
        <f t="shared" si="151"/>
        <v>-1.9754123588161687</v>
      </c>
      <c r="AX210">
        <f t="shared" si="152"/>
        <v>-0.55487670193039162</v>
      </c>
      <c r="AY210">
        <f t="shared" si="153"/>
        <v>9.0588483640156564E-2</v>
      </c>
      <c r="AZ210">
        <f t="shared" si="154"/>
        <v>0.11103148199129012</v>
      </c>
      <c r="BA210">
        <f t="shared" si="155"/>
        <v>1.4184491683854372</v>
      </c>
      <c r="BB210">
        <f t="shared" si="156"/>
        <v>0.99874612837709653</v>
      </c>
      <c r="BC210">
        <f t="shared" si="157"/>
        <v>-1.3348488146231198E-2</v>
      </c>
      <c r="BD210" t="str">
        <f t="shared" si="158"/>
        <v>C01132</v>
      </c>
    </row>
    <row r="211" spans="1:56" x14ac:dyDescent="0.2">
      <c r="A211" t="s">
        <v>111</v>
      </c>
      <c r="B211">
        <v>4694995</v>
      </c>
      <c r="C211">
        <v>3000155.75</v>
      </c>
      <c r="D211">
        <v>3088237.5</v>
      </c>
      <c r="E211">
        <v>2341699.5</v>
      </c>
      <c r="F211">
        <v>6056729.5</v>
      </c>
      <c r="G211">
        <v>2910764.5</v>
      </c>
      <c r="H211">
        <v>2776496</v>
      </c>
      <c r="I211">
        <v>2811409</v>
      </c>
      <c r="J211">
        <v>3888671.25</v>
      </c>
      <c r="K211">
        <v>1768332.125</v>
      </c>
      <c r="L211">
        <v>3024965.25</v>
      </c>
      <c r="M211">
        <v>3425827.75</v>
      </c>
      <c r="N211">
        <v>3731486.75</v>
      </c>
      <c r="O211">
        <v>5318677</v>
      </c>
      <c r="P211">
        <v>4515285.5</v>
      </c>
      <c r="Q211">
        <v>3627294.5</v>
      </c>
      <c r="R211" s="2" t="s">
        <v>374</v>
      </c>
      <c r="S211" s="4" t="s">
        <v>422</v>
      </c>
      <c r="T211">
        <f t="shared" si="123"/>
        <v>6.6716351340944477</v>
      </c>
      <c r="U211">
        <f t="shared" si="124"/>
        <v>6.4771438012562488</v>
      </c>
      <c r="V211">
        <f t="shared" si="125"/>
        <v>6.4897106922379164</v>
      </c>
      <c r="W211">
        <f t="shared" si="126"/>
        <v>6.369531163210703</v>
      </c>
      <c r="X211">
        <f t="shared" si="127"/>
        <v>6.7822381780416023</v>
      </c>
      <c r="Y211">
        <f t="shared" si="128"/>
        <v>6.4640070695790408</v>
      </c>
      <c r="Z211">
        <f t="shared" si="129"/>
        <v>6.443497052136272</v>
      </c>
      <c r="AA211">
        <f t="shared" si="130"/>
        <v>6.4489240307807041</v>
      </c>
      <c r="AB211">
        <f t="shared" si="131"/>
        <v>6.5898012292503507</v>
      </c>
      <c r="AC211">
        <f t="shared" si="132"/>
        <v>6.2475638367565214</v>
      </c>
      <c r="AD211">
        <f t="shared" si="133"/>
        <v>6.4807203899571055</v>
      </c>
      <c r="AE211">
        <f t="shared" si="134"/>
        <v>6.5347655229303898</v>
      </c>
      <c r="AF211">
        <f t="shared" si="135"/>
        <v>6.5718819038387402</v>
      </c>
      <c r="AG211">
        <f t="shared" si="136"/>
        <v>6.7258036166832351</v>
      </c>
      <c r="AH211">
        <f t="shared" si="137"/>
        <v>6.6546852158133216</v>
      </c>
      <c r="AI211">
        <f t="shared" si="138"/>
        <v>6.5595828173760484</v>
      </c>
      <c r="AJ211" t="str">
        <f t="shared" si="139"/>
        <v>C01132</v>
      </c>
      <c r="AL211">
        <f t="shared" si="140"/>
        <v>6.5319682283714151</v>
      </c>
      <c r="AM211">
        <f t="shared" si="141"/>
        <v>0.1352807648299377</v>
      </c>
      <c r="AN211">
        <f t="shared" si="142"/>
        <v>1.0324225021835793</v>
      </c>
      <c r="AO211">
        <f t="shared" si="143"/>
        <v>-0.4052640239289485</v>
      </c>
      <c r="AP211">
        <f t="shared" si="144"/>
        <v>-0.31236913974149177</v>
      </c>
      <c r="AQ211">
        <f t="shared" si="145"/>
        <v>-1.200740292715766</v>
      </c>
      <c r="AR211">
        <f t="shared" si="146"/>
        <v>1.850003952777789</v>
      </c>
      <c r="AS211">
        <f t="shared" si="147"/>
        <v>-0.50237118985695195</v>
      </c>
      <c r="AT211">
        <f t="shared" si="148"/>
        <v>-0.65398193413794481</v>
      </c>
      <c r="AU211">
        <f t="shared" si="149"/>
        <v>-0.61386552400931804</v>
      </c>
      <c r="AV211">
        <f t="shared" si="150"/>
        <v>0.42750350318936947</v>
      </c>
      <c r="AW211">
        <f t="shared" si="151"/>
        <v>-2.1023269048812687</v>
      </c>
      <c r="AX211">
        <f t="shared" si="152"/>
        <v>-0.37882575899636256</v>
      </c>
      <c r="AY211">
        <f t="shared" si="153"/>
        <v>2.0677696215653438E-2</v>
      </c>
      <c r="AZ211">
        <f t="shared" si="154"/>
        <v>0.29504324223403661</v>
      </c>
      <c r="BA211">
        <f t="shared" si="155"/>
        <v>1.4328377619352737</v>
      </c>
      <c r="BB211">
        <f t="shared" si="156"/>
        <v>0.90712813160226291</v>
      </c>
      <c r="BC211">
        <f t="shared" si="157"/>
        <v>0.20412797813013395</v>
      </c>
      <c r="BD211" t="str">
        <f t="shared" si="158"/>
        <v>C01132</v>
      </c>
    </row>
    <row r="212" spans="1:56" x14ac:dyDescent="0.2">
      <c r="A212" t="s">
        <v>112</v>
      </c>
      <c r="B212">
        <v>252770.125</v>
      </c>
      <c r="C212">
        <v>319268.3125</v>
      </c>
      <c r="D212">
        <v>101444.375</v>
      </c>
      <c r="E212">
        <v>95720.90625</v>
      </c>
      <c r="F212">
        <v>333062</v>
      </c>
      <c r="G212">
        <v>149048.20310000001</v>
      </c>
      <c r="H212">
        <v>105795.7344</v>
      </c>
      <c r="I212">
        <v>126847.7656</v>
      </c>
      <c r="J212">
        <v>32441.546880000002</v>
      </c>
      <c r="L212">
        <v>34350.070310000003</v>
      </c>
      <c r="M212">
        <v>37803.5</v>
      </c>
      <c r="N212">
        <v>57550.898439999997</v>
      </c>
      <c r="O212">
        <v>64569.195310000003</v>
      </c>
      <c r="P212">
        <v>45710.738279999998</v>
      </c>
      <c r="Q212">
        <v>60633.152340000001</v>
      </c>
      <c r="R212" s="2"/>
      <c r="S212" s="4" t="s">
        <v>422</v>
      </c>
      <c r="T212">
        <f t="shared" si="123"/>
        <v>5.402725743208646</v>
      </c>
      <c r="U212">
        <f t="shared" si="124"/>
        <v>5.5041558167878009</v>
      </c>
      <c r="V212">
        <f t="shared" si="125"/>
        <v>5.006227970795802</v>
      </c>
      <c r="W212">
        <f t="shared" si="126"/>
        <v>4.9810068016997686</v>
      </c>
      <c r="X212">
        <f t="shared" si="127"/>
        <v>5.5225250856130481</v>
      </c>
      <c r="Y212">
        <f t="shared" si="128"/>
        <v>5.1733267446191791</v>
      </c>
      <c r="Z212">
        <f t="shared" si="129"/>
        <v>5.0244681576435175</v>
      </c>
      <c r="AA212">
        <f t="shared" si="130"/>
        <v>5.1032828216079116</v>
      </c>
      <c r="AB212">
        <f t="shared" si="131"/>
        <v>4.51110155409126</v>
      </c>
      <c r="AC212" t="e">
        <f t="shared" si="132"/>
        <v>#NUM!</v>
      </c>
      <c r="AD212">
        <f t="shared" si="133"/>
        <v>4.5359276303392013</v>
      </c>
      <c r="AE212">
        <f t="shared" si="134"/>
        <v>4.5775320104276807</v>
      </c>
      <c r="AF212">
        <f t="shared" si="135"/>
        <v>4.7600521078874207</v>
      </c>
      <c r="AG212">
        <f t="shared" si="136"/>
        <v>4.8100253740687746</v>
      </c>
      <c r="AH212">
        <f t="shared" si="137"/>
        <v>4.6600182356918864</v>
      </c>
      <c r="AI212">
        <f t="shared" si="138"/>
        <v>4.7827101479525638</v>
      </c>
      <c r="AJ212">
        <f t="shared" si="139"/>
        <v>0</v>
      </c>
      <c r="AL212" t="e">
        <f t="shared" si="140"/>
        <v>#NUM!</v>
      </c>
      <c r="AM212" t="e">
        <f t="shared" si="141"/>
        <v>#NUM!</v>
      </c>
      <c r="AN212" t="e">
        <f t="shared" si="142"/>
        <v>#NUM!</v>
      </c>
      <c r="AO212" t="e">
        <f t="shared" si="143"/>
        <v>#NUM!</v>
      </c>
      <c r="AP212" t="e">
        <f t="shared" si="144"/>
        <v>#NUM!</v>
      </c>
      <c r="AQ212" t="e">
        <f t="shared" si="145"/>
        <v>#NUM!</v>
      </c>
      <c r="AR212" t="e">
        <f t="shared" si="146"/>
        <v>#NUM!</v>
      </c>
      <c r="AS212" t="e">
        <f t="shared" si="147"/>
        <v>#NUM!</v>
      </c>
      <c r="AT212" t="e">
        <f t="shared" si="148"/>
        <v>#NUM!</v>
      </c>
      <c r="AU212" t="e">
        <f t="shared" si="149"/>
        <v>#NUM!</v>
      </c>
      <c r="AV212" t="e">
        <f t="shared" si="150"/>
        <v>#NUM!</v>
      </c>
      <c r="AW212" t="e">
        <f t="shared" si="151"/>
        <v>#NUM!</v>
      </c>
      <c r="AX212" t="e">
        <f t="shared" si="152"/>
        <v>#NUM!</v>
      </c>
      <c r="AY212" t="e">
        <f t="shared" si="153"/>
        <v>#NUM!</v>
      </c>
      <c r="AZ212" t="e">
        <f t="shared" si="154"/>
        <v>#NUM!</v>
      </c>
      <c r="BA212" t="e">
        <f t="shared" si="155"/>
        <v>#NUM!</v>
      </c>
      <c r="BB212" t="e">
        <f t="shared" si="156"/>
        <v>#NUM!</v>
      </c>
      <c r="BC212" t="e">
        <f t="shared" si="157"/>
        <v>#NUM!</v>
      </c>
      <c r="BD212">
        <f t="shared" si="158"/>
        <v>0</v>
      </c>
    </row>
    <row r="213" spans="1:56" x14ac:dyDescent="0.2">
      <c r="A213" t="s">
        <v>115</v>
      </c>
      <c r="B213">
        <v>93199.085940000004</v>
      </c>
      <c r="C213">
        <v>79080.5</v>
      </c>
      <c r="D213">
        <v>80952.929690000004</v>
      </c>
      <c r="E213">
        <v>69230.414059999996</v>
      </c>
      <c r="F213">
        <v>106824.10159999999</v>
      </c>
      <c r="G213">
        <v>106967.7656</v>
      </c>
      <c r="H213">
        <v>65744.046879999994</v>
      </c>
      <c r="I213">
        <v>74775.476559999996</v>
      </c>
      <c r="J213">
        <v>83353.234379999994</v>
      </c>
      <c r="K213">
        <v>83816.101559999996</v>
      </c>
      <c r="L213">
        <v>67781.90625</v>
      </c>
      <c r="M213">
        <v>81408</v>
      </c>
      <c r="N213">
        <v>80004.171879999994</v>
      </c>
      <c r="O213">
        <v>103869.25780000001</v>
      </c>
      <c r="P213">
        <v>89496.125</v>
      </c>
      <c r="Q213">
        <v>77629.601559999996</v>
      </c>
      <c r="R213" s="2" t="s">
        <v>116</v>
      </c>
      <c r="S213" s="4" t="s">
        <v>422</v>
      </c>
      <c r="T213">
        <f t="shared" si="123"/>
        <v>4.9694116529853032</v>
      </c>
      <c r="U213">
        <f t="shared" si="124"/>
        <v>4.8980694065515298</v>
      </c>
      <c r="V213">
        <f t="shared" si="125"/>
        <v>4.9082325705097416</v>
      </c>
      <c r="W213">
        <f t="shared" si="126"/>
        <v>4.84029692908992</v>
      </c>
      <c r="X213">
        <f t="shared" si="127"/>
        <v>5.0286692490501679</v>
      </c>
      <c r="Y213">
        <f t="shared" si="128"/>
        <v>5.0292529241230941</v>
      </c>
      <c r="Z213">
        <f t="shared" si="129"/>
        <v>4.8178564335995624</v>
      </c>
      <c r="AA213">
        <f t="shared" si="130"/>
        <v>4.8737591895631853</v>
      </c>
      <c r="AB213">
        <f t="shared" si="131"/>
        <v>4.9209224565471441</v>
      </c>
      <c r="AC213">
        <f t="shared" si="132"/>
        <v>4.923327457137848</v>
      </c>
      <c r="AD213">
        <f t="shared" si="133"/>
        <v>4.8311137784614475</v>
      </c>
      <c r="AE213">
        <f t="shared" si="134"/>
        <v>4.9106670852962822</v>
      </c>
      <c r="AF213">
        <f t="shared" si="135"/>
        <v>4.9031126342072291</v>
      </c>
      <c r="AG213">
        <f t="shared" si="136"/>
        <v>5.0164870283714196</v>
      </c>
      <c r="AH213">
        <f t="shared" si="137"/>
        <v>4.9518042316561388</v>
      </c>
      <c r="AI213">
        <f t="shared" si="138"/>
        <v>4.8900273571187505</v>
      </c>
      <c r="AJ213" t="str">
        <f t="shared" si="139"/>
        <v>C02918</v>
      </c>
      <c r="AL213">
        <f t="shared" si="140"/>
        <v>4.9195631490167981</v>
      </c>
      <c r="AM213">
        <f t="shared" si="141"/>
        <v>6.5945317502313722E-2</v>
      </c>
      <c r="AN213">
        <f t="shared" si="142"/>
        <v>0.75590664897103699</v>
      </c>
      <c r="AO213">
        <f t="shared" si="143"/>
        <v>-0.3259328073523074</v>
      </c>
      <c r="AP213">
        <f t="shared" si="144"/>
        <v>-0.17181778686043941</v>
      </c>
      <c r="AQ213">
        <f t="shared" si="145"/>
        <v>-1.2019992158517852</v>
      </c>
      <c r="AR213">
        <f t="shared" si="146"/>
        <v>1.6544935131981386</v>
      </c>
      <c r="AS213">
        <f t="shared" si="147"/>
        <v>1.6633444080763953</v>
      </c>
      <c r="AT213">
        <f t="shared" si="148"/>
        <v>-1.5422886608085149</v>
      </c>
      <c r="AU213">
        <f t="shared" si="149"/>
        <v>-0.69457485669101171</v>
      </c>
      <c r="AV213">
        <f t="shared" si="150"/>
        <v>2.0612646687132467E-2</v>
      </c>
      <c r="AW213">
        <f t="shared" si="151"/>
        <v>5.7082265483334942E-2</v>
      </c>
      <c r="AX213">
        <f t="shared" si="152"/>
        <v>-1.3412532368541155</v>
      </c>
      <c r="AY213">
        <f t="shared" si="153"/>
        <v>-0.13490061246886662</v>
      </c>
      <c r="AZ213">
        <f t="shared" si="154"/>
        <v>-0.24945690509401031</v>
      </c>
      <c r="BA213">
        <f t="shared" si="155"/>
        <v>1.4697613572217743</v>
      </c>
      <c r="BB213">
        <f t="shared" si="156"/>
        <v>0.4889063220934447</v>
      </c>
      <c r="BC213">
        <f t="shared" si="157"/>
        <v>-0.44788307975030056</v>
      </c>
      <c r="BD213" t="str">
        <f t="shared" si="158"/>
        <v>C02918</v>
      </c>
    </row>
    <row r="214" spans="1:56" x14ac:dyDescent="0.2">
      <c r="A214" t="s">
        <v>117</v>
      </c>
      <c r="B214">
        <v>1447976.5</v>
      </c>
      <c r="C214">
        <v>696159.9375</v>
      </c>
      <c r="D214">
        <v>6042488</v>
      </c>
      <c r="E214">
        <v>843905.8125</v>
      </c>
      <c r="F214">
        <v>1377947.25</v>
      </c>
      <c r="G214">
        <v>1577184.25</v>
      </c>
      <c r="H214">
        <v>1463793.875</v>
      </c>
      <c r="I214">
        <v>2382634.5</v>
      </c>
      <c r="J214">
        <v>365117.8125</v>
      </c>
      <c r="K214">
        <v>268914.71879999997</v>
      </c>
      <c r="L214">
        <v>208748.7812</v>
      </c>
      <c r="M214">
        <v>270551.03120000003</v>
      </c>
      <c r="N214">
        <v>242361.9062</v>
      </c>
      <c r="O214">
        <v>513011.25</v>
      </c>
      <c r="P214">
        <v>307512.84379999997</v>
      </c>
      <c r="Q214">
        <v>315107.28120000003</v>
      </c>
      <c r="R214" s="2" t="s">
        <v>375</v>
      </c>
      <c r="S214" s="4" t="s">
        <v>422</v>
      </c>
      <c r="T214">
        <f t="shared" si="123"/>
        <v>6.160761513516416</v>
      </c>
      <c r="U214">
        <f t="shared" si="124"/>
        <v>5.8427090269584578</v>
      </c>
      <c r="V214">
        <f t="shared" si="125"/>
        <v>6.7812157965990991</v>
      </c>
      <c r="W214">
        <f t="shared" si="126"/>
        <v>5.9262939781492108</v>
      </c>
      <c r="X214">
        <f t="shared" si="127"/>
        <v>6.1392325924102051</v>
      </c>
      <c r="Y214">
        <f t="shared" si="128"/>
        <v>6.1978824314925864</v>
      </c>
      <c r="Z214">
        <f t="shared" si="129"/>
        <v>6.1654799255935355</v>
      </c>
      <c r="AA214">
        <f t="shared" si="130"/>
        <v>6.3770574259773465</v>
      </c>
      <c r="AB214">
        <f t="shared" si="131"/>
        <v>5.5624330207934856</v>
      </c>
      <c r="AC214">
        <f t="shared" si="132"/>
        <v>5.4296145735832084</v>
      </c>
      <c r="AD214">
        <f t="shared" si="133"/>
        <v>5.3196239484925991</v>
      </c>
      <c r="AE214">
        <f t="shared" si="134"/>
        <v>5.4322491935767365</v>
      </c>
      <c r="AF214">
        <f t="shared" si="135"/>
        <v>5.3844643596063282</v>
      </c>
      <c r="AG214">
        <f t="shared" si="136"/>
        <v>5.7101268890091843</v>
      </c>
      <c r="AH214">
        <f t="shared" si="137"/>
        <v>5.4878632595422578</v>
      </c>
      <c r="AI214">
        <f t="shared" si="138"/>
        <v>5.4984584385546631</v>
      </c>
      <c r="AJ214" t="str">
        <f t="shared" si="139"/>
        <v>C00330</v>
      </c>
      <c r="AL214">
        <f t="shared" si="140"/>
        <v>5.8384666483659577</v>
      </c>
      <c r="AM214">
        <f t="shared" si="141"/>
        <v>0.42861961248601521</v>
      </c>
      <c r="AN214">
        <f t="shared" si="142"/>
        <v>0.75193681241306687</v>
      </c>
      <c r="AO214">
        <f t="shared" si="143"/>
        <v>9.8977705847244999E-3</v>
      </c>
      <c r="AP214">
        <f t="shared" si="144"/>
        <v>2.1995007245822213</v>
      </c>
      <c r="AQ214">
        <f t="shared" si="145"/>
        <v>0.20490739859954171</v>
      </c>
      <c r="AR214">
        <f t="shared" si="146"/>
        <v>0.70170831031223668</v>
      </c>
      <c r="AS214">
        <f t="shared" si="147"/>
        <v>0.83854255068264183</v>
      </c>
      <c r="AT214">
        <f t="shared" si="148"/>
        <v>0.76294520292919965</v>
      </c>
      <c r="AU214">
        <f t="shared" si="149"/>
        <v>1.256570539288987</v>
      </c>
      <c r="AV214">
        <f t="shared" si="150"/>
        <v>-0.64400605929220855</v>
      </c>
      <c r="AW214">
        <f t="shared" si="151"/>
        <v>-0.95388093048609424</v>
      </c>
      <c r="AX214">
        <f t="shared" si="152"/>
        <v>-1.2104968712561821</v>
      </c>
      <c r="AY214">
        <f t="shared" si="153"/>
        <v>-0.9477341749089353</v>
      </c>
      <c r="AZ214">
        <f t="shared" si="154"/>
        <v>-1.0592195866315905</v>
      </c>
      <c r="BA214">
        <f t="shared" si="155"/>
        <v>-0.29942577431862349</v>
      </c>
      <c r="BB214">
        <f t="shared" si="156"/>
        <v>-0.81798260884559781</v>
      </c>
      <c r="BC214">
        <f t="shared" si="157"/>
        <v>-0.79326330365339559</v>
      </c>
      <c r="BD214" t="str">
        <f t="shared" si="158"/>
        <v>C00330</v>
      </c>
    </row>
    <row r="215" spans="1:56" x14ac:dyDescent="0.2">
      <c r="A215" t="s">
        <v>120</v>
      </c>
      <c r="B215">
        <v>20150828</v>
      </c>
      <c r="C215">
        <v>15862366</v>
      </c>
      <c r="D215">
        <v>10244945</v>
      </c>
      <c r="E215">
        <v>10674586</v>
      </c>
      <c r="F215">
        <v>14531043</v>
      </c>
      <c r="G215">
        <v>11613304</v>
      </c>
      <c r="H215">
        <v>8485178</v>
      </c>
      <c r="I215">
        <v>10334898</v>
      </c>
      <c r="J215">
        <v>4031000.5</v>
      </c>
      <c r="K215">
        <v>1709183.625</v>
      </c>
      <c r="L215">
        <v>2511058.5</v>
      </c>
      <c r="M215">
        <v>2213965.5</v>
      </c>
      <c r="N215">
        <v>8364078.5</v>
      </c>
      <c r="O215">
        <v>10518451</v>
      </c>
      <c r="P215">
        <v>9307798</v>
      </c>
      <c r="Q215">
        <v>8578130</v>
      </c>
      <c r="R215" s="2" t="s">
        <v>121</v>
      </c>
      <c r="S215" s="4" t="s">
        <v>422</v>
      </c>
      <c r="T215">
        <f t="shared" si="123"/>
        <v>7.3042928960574258</v>
      </c>
      <c r="U215">
        <f t="shared" si="124"/>
        <v>7.2003679663427054</v>
      </c>
      <c r="V215">
        <f t="shared" si="125"/>
        <v>7.0105096312330044</v>
      </c>
      <c r="W215">
        <f t="shared" si="126"/>
        <v>7.0283510404743845</v>
      </c>
      <c r="X215">
        <f t="shared" si="127"/>
        <v>7.1622967879310409</v>
      </c>
      <c r="Y215">
        <f t="shared" si="128"/>
        <v>7.0649557946595145</v>
      </c>
      <c r="Z215">
        <f t="shared" si="129"/>
        <v>6.9286609572732507</v>
      </c>
      <c r="AA215">
        <f t="shared" si="130"/>
        <v>7.0143061947266592</v>
      </c>
      <c r="AB215">
        <f t="shared" si="131"/>
        <v>6.6054128520223712</v>
      </c>
      <c r="AC215">
        <f t="shared" si="132"/>
        <v>6.2327887233645551</v>
      </c>
      <c r="AD215">
        <f t="shared" si="133"/>
        <v>6.3998568305668631</v>
      </c>
      <c r="AE215">
        <f t="shared" si="134"/>
        <v>6.3451708490285368</v>
      </c>
      <c r="AF215">
        <f t="shared" si="135"/>
        <v>6.9224181001806464</v>
      </c>
      <c r="AG215">
        <f t="shared" si="136"/>
        <v>7.0219517881367066</v>
      </c>
      <c r="AH215">
        <f t="shared" si="137"/>
        <v>6.96884694955697</v>
      </c>
      <c r="AI215">
        <f t="shared" si="138"/>
        <v>6.9333926236068129</v>
      </c>
      <c r="AJ215" t="str">
        <f t="shared" si="139"/>
        <v>C00864</v>
      </c>
      <c r="AL215">
        <f t="shared" si="140"/>
        <v>6.8839737490725899</v>
      </c>
      <c r="AM215">
        <f t="shared" si="141"/>
        <v>0.31615489718488532</v>
      </c>
      <c r="AN215">
        <f t="shared" si="142"/>
        <v>1.3294722008972586</v>
      </c>
      <c r="AO215">
        <f t="shared" si="143"/>
        <v>1.000756970989098</v>
      </c>
      <c r="AP215">
        <f t="shared" si="144"/>
        <v>0.40023381983679096</v>
      </c>
      <c r="AQ215">
        <f t="shared" si="145"/>
        <v>0.45666631352973719</v>
      </c>
      <c r="AR215">
        <f t="shared" si="146"/>
        <v>0.88033758558447861</v>
      </c>
      <c r="AS215">
        <f t="shared" si="147"/>
        <v>0.57244738954996333</v>
      </c>
      <c r="AT215">
        <f t="shared" si="148"/>
        <v>0.14134593074017154</v>
      </c>
      <c r="AU215">
        <f t="shared" si="149"/>
        <v>0.41224237490729665</v>
      </c>
      <c r="AV215">
        <f t="shared" si="150"/>
        <v>-0.88108993259502821</v>
      </c>
      <c r="AW215">
        <f t="shared" si="151"/>
        <v>-2.0597024797222292</v>
      </c>
      <c r="AX215">
        <f t="shared" si="152"/>
        <v>-1.531264967952144</v>
      </c>
      <c r="AY215">
        <f t="shared" si="153"/>
        <v>-1.704237083915751</v>
      </c>
      <c r="AZ215">
        <f t="shared" si="154"/>
        <v>0.12159973307506461</v>
      </c>
      <c r="BA215">
        <f t="shared" si="155"/>
        <v>0.43642543668532235</v>
      </c>
      <c r="BB215">
        <f t="shared" si="156"/>
        <v>0.26845448620315659</v>
      </c>
      <c r="BC215">
        <f t="shared" si="157"/>
        <v>0.15631222218684523</v>
      </c>
      <c r="BD215" t="str">
        <f t="shared" si="158"/>
        <v>C00864</v>
      </c>
    </row>
    <row r="216" spans="1:56" x14ac:dyDescent="0.2">
      <c r="A216" t="s">
        <v>119</v>
      </c>
      <c r="B216">
        <v>20206602</v>
      </c>
      <c r="C216">
        <v>14168975</v>
      </c>
      <c r="D216">
        <v>14160724</v>
      </c>
      <c r="E216">
        <v>11259431</v>
      </c>
      <c r="F216">
        <v>26297246</v>
      </c>
      <c r="G216">
        <v>13270254</v>
      </c>
      <c r="H216">
        <v>12575151</v>
      </c>
      <c r="I216">
        <v>13597879</v>
      </c>
      <c r="J216">
        <v>17667994</v>
      </c>
      <c r="K216">
        <v>9024886</v>
      </c>
      <c r="L216">
        <v>13262206</v>
      </c>
      <c r="M216">
        <v>15797071</v>
      </c>
      <c r="N216">
        <v>15884823</v>
      </c>
      <c r="O216">
        <v>22638324</v>
      </c>
      <c r="P216">
        <v>20204682</v>
      </c>
      <c r="Q216">
        <v>15358361</v>
      </c>
      <c r="R216" s="2" t="s">
        <v>377</v>
      </c>
      <c r="S216" s="4" t="s">
        <v>422</v>
      </c>
      <c r="T216">
        <f t="shared" si="123"/>
        <v>7.3054932874527472</v>
      </c>
      <c r="U216">
        <f t="shared" si="124"/>
        <v>7.1513384340198698</v>
      </c>
      <c r="V216">
        <f t="shared" si="125"/>
        <v>7.1510854582384109</v>
      </c>
      <c r="W216">
        <f t="shared" si="126"/>
        <v>7.0515164438186941</v>
      </c>
      <c r="X216">
        <f t="shared" si="127"/>
        <v>7.4199102690361665</v>
      </c>
      <c r="Y216">
        <f t="shared" si="128"/>
        <v>7.1228792355805393</v>
      </c>
      <c r="Z216">
        <f t="shared" si="129"/>
        <v>7.0995132086840718</v>
      </c>
      <c r="AA216">
        <f t="shared" si="130"/>
        <v>7.1334711723090356</v>
      </c>
      <c r="AB216">
        <f t="shared" si="131"/>
        <v>7.2471872431012203</v>
      </c>
      <c r="AC216">
        <f t="shared" si="132"/>
        <v>6.9554417247180131</v>
      </c>
      <c r="AD216">
        <f t="shared" si="133"/>
        <v>7.122615769464125</v>
      </c>
      <c r="AE216">
        <f t="shared" si="134"/>
        <v>7.1985765700899869</v>
      </c>
      <c r="AF216">
        <f t="shared" si="135"/>
        <v>7.2009823799720065</v>
      </c>
      <c r="AG216">
        <f t="shared" si="136"/>
        <v>7.3548442712576314</v>
      </c>
      <c r="AH216">
        <f t="shared" si="137"/>
        <v>7.3054520195036332</v>
      </c>
      <c r="AI216">
        <f t="shared" si="138"/>
        <v>7.1863448715134899</v>
      </c>
      <c r="AJ216" t="str">
        <f t="shared" si="139"/>
        <v>C03878</v>
      </c>
      <c r="AL216">
        <f t="shared" si="140"/>
        <v>7.1879157724224774</v>
      </c>
      <c r="AM216">
        <f t="shared" si="141"/>
        <v>0.11768380746781497</v>
      </c>
      <c r="AN216">
        <f t="shared" si="142"/>
        <v>0.99909679640867988</v>
      </c>
      <c r="AO216">
        <f t="shared" si="143"/>
        <v>-0.3108102906392709</v>
      </c>
      <c r="AP216">
        <f t="shared" si="144"/>
        <v>-0.3129599133180585</v>
      </c>
      <c r="AQ216">
        <f t="shared" si="145"/>
        <v>-1.1590322537880728</v>
      </c>
      <c r="AR216">
        <f t="shared" si="146"/>
        <v>1.9713374473980769</v>
      </c>
      <c r="AS216">
        <f t="shared" si="147"/>
        <v>-0.55263793924856464</v>
      </c>
      <c r="AT216">
        <f t="shared" si="148"/>
        <v>-0.75118714834734235</v>
      </c>
      <c r="AU216">
        <f t="shared" si="149"/>
        <v>-0.46263459081515251</v>
      </c>
      <c r="AV216">
        <f t="shared" si="150"/>
        <v>0.50365017884854668</v>
      </c>
      <c r="AW216">
        <f t="shared" si="151"/>
        <v>-1.9754123588161687</v>
      </c>
      <c r="AX216">
        <f t="shared" si="152"/>
        <v>-0.55487670193039162</v>
      </c>
      <c r="AY216">
        <f t="shared" si="153"/>
        <v>9.0588483640156564E-2</v>
      </c>
      <c r="AZ216">
        <f t="shared" si="154"/>
        <v>0.11103148199129012</v>
      </c>
      <c r="BA216">
        <f t="shared" si="155"/>
        <v>1.4184491683854372</v>
      </c>
      <c r="BB216">
        <f t="shared" si="156"/>
        <v>0.99874612837709653</v>
      </c>
      <c r="BC216">
        <f t="shared" si="157"/>
        <v>-1.3348488146231198E-2</v>
      </c>
      <c r="BD216" t="str">
        <f t="shared" si="158"/>
        <v>C03878</v>
      </c>
    </row>
    <row r="217" spans="1:56" x14ac:dyDescent="0.2">
      <c r="A217" t="s">
        <v>118</v>
      </c>
      <c r="B217">
        <v>128948.0781</v>
      </c>
      <c r="C217">
        <v>80902.265620000006</v>
      </c>
      <c r="D217">
        <v>134891.42189999999</v>
      </c>
      <c r="E217">
        <v>80159.179690000004</v>
      </c>
      <c r="F217">
        <v>4487087</v>
      </c>
      <c r="G217">
        <v>499231.4375</v>
      </c>
      <c r="H217">
        <v>960781.9375</v>
      </c>
      <c r="I217">
        <v>648058.0625</v>
      </c>
      <c r="J217">
        <v>483771.34379999997</v>
      </c>
      <c r="K217">
        <v>108874.30469999999</v>
      </c>
      <c r="L217">
        <v>449183.34379999997</v>
      </c>
      <c r="M217">
        <v>170119.1875</v>
      </c>
      <c r="N217">
        <v>957283</v>
      </c>
      <c r="O217">
        <v>1057900.125</v>
      </c>
      <c r="P217">
        <v>480057.5625</v>
      </c>
      <c r="Q217">
        <v>2017717.25</v>
      </c>
      <c r="R217" s="2" t="s">
        <v>376</v>
      </c>
      <c r="S217" s="4" t="s">
        <v>422</v>
      </c>
      <c r="T217">
        <f t="shared" si="123"/>
        <v>5.1104148736024175</v>
      </c>
      <c r="U217">
        <f t="shared" si="124"/>
        <v>4.907960683942143</v>
      </c>
      <c r="V217">
        <f t="shared" si="125"/>
        <v>5.1299843326226275</v>
      </c>
      <c r="W217">
        <f t="shared" si="126"/>
        <v>4.9039532641877246</v>
      </c>
      <c r="X217">
        <f t="shared" si="127"/>
        <v>6.6519644901378507</v>
      </c>
      <c r="Y217">
        <f t="shared" si="128"/>
        <v>5.6983019258388001</v>
      </c>
      <c r="Z217">
        <f t="shared" si="129"/>
        <v>5.9826248298259319</v>
      </c>
      <c r="AA217">
        <f t="shared" si="130"/>
        <v>5.8116139180522337</v>
      </c>
      <c r="AB217">
        <f t="shared" si="131"/>
        <v>5.6846401393501234</v>
      </c>
      <c r="AC217">
        <f t="shared" si="132"/>
        <v>5.0369253945055705</v>
      </c>
      <c r="AD217">
        <f t="shared" si="133"/>
        <v>5.6524236437829547</v>
      </c>
      <c r="AE217">
        <f t="shared" si="134"/>
        <v>5.2307532998290229</v>
      </c>
      <c r="AF217">
        <f t="shared" si="135"/>
        <v>5.9810403465223363</v>
      </c>
      <c r="AG217">
        <f t="shared" si="136"/>
        <v>6.0244446684469812</v>
      </c>
      <c r="AH217">
        <f t="shared" si="137"/>
        <v>5.6812933156615584</v>
      </c>
      <c r="AI217">
        <f t="shared" si="138"/>
        <v>6.3048603069116282</v>
      </c>
      <c r="AJ217" t="str">
        <f t="shared" si="139"/>
        <v>C00475</v>
      </c>
      <c r="AL217">
        <f t="shared" si="140"/>
        <v>5.6120749645762427</v>
      </c>
      <c r="AM217">
        <f t="shared" si="141"/>
        <v>0.51776698071288385</v>
      </c>
      <c r="AN217">
        <f t="shared" si="142"/>
        <v>-0.96889162434251397</v>
      </c>
      <c r="AO217">
        <f t="shared" si="143"/>
        <v>-1.3599057237382053</v>
      </c>
      <c r="AP217">
        <f t="shared" si="144"/>
        <v>-0.93109574366803383</v>
      </c>
      <c r="AQ217">
        <f t="shared" si="145"/>
        <v>-1.3676455370204288</v>
      </c>
      <c r="AR217">
        <f t="shared" si="146"/>
        <v>2.0084122091560253</v>
      </c>
      <c r="AS217">
        <f t="shared" si="147"/>
        <v>0.16653623053335012</v>
      </c>
      <c r="AT217">
        <f t="shared" si="148"/>
        <v>0.71566916982519868</v>
      </c>
      <c r="AU217">
        <f t="shared" si="149"/>
        <v>0.38538369751052343</v>
      </c>
      <c r="AV217">
        <f t="shared" si="150"/>
        <v>0.14015025576557594</v>
      </c>
      <c r="AW217">
        <f t="shared" si="151"/>
        <v>-1.1108270544382368</v>
      </c>
      <c r="AX217">
        <f t="shared" si="152"/>
        <v>7.7928258675665718E-2</v>
      </c>
      <c r="AY217">
        <f t="shared" si="153"/>
        <v>-0.73647350826080038</v>
      </c>
      <c r="AZ217">
        <f t="shared" si="154"/>
        <v>0.71260894512447703</v>
      </c>
      <c r="BA217">
        <f t="shared" si="155"/>
        <v>0.79643878275700442</v>
      </c>
      <c r="BB217">
        <f t="shared" si="156"/>
        <v>0.13368629840012761</v>
      </c>
      <c r="BC217">
        <f t="shared" si="157"/>
        <v>1.338025343720314</v>
      </c>
      <c r="BD217" t="str">
        <f t="shared" si="158"/>
        <v>C00475</v>
      </c>
    </row>
    <row r="218" spans="1:56" x14ac:dyDescent="0.2">
      <c r="A218" t="s">
        <v>118</v>
      </c>
      <c r="B218">
        <v>4249393.5</v>
      </c>
      <c r="C218">
        <v>3282568</v>
      </c>
      <c r="D218">
        <v>4127269</v>
      </c>
      <c r="E218">
        <v>3163365</v>
      </c>
      <c r="F218">
        <v>26801434</v>
      </c>
      <c r="G218">
        <v>8549576</v>
      </c>
      <c r="H218">
        <v>10706232</v>
      </c>
      <c r="I218">
        <v>9443231</v>
      </c>
      <c r="J218">
        <v>8235092</v>
      </c>
      <c r="K218">
        <v>3471462.5</v>
      </c>
      <c r="L218">
        <v>7288387.5</v>
      </c>
      <c r="M218">
        <v>4811318</v>
      </c>
      <c r="N218">
        <v>10309879</v>
      </c>
      <c r="O218">
        <v>11994414</v>
      </c>
      <c r="P218">
        <v>8012632.5</v>
      </c>
      <c r="Q218">
        <v>15952781</v>
      </c>
      <c r="R218" s="2" t="s">
        <v>376</v>
      </c>
      <c r="S218" s="4" t="s">
        <v>422</v>
      </c>
      <c r="T218">
        <f t="shared" si="123"/>
        <v>6.6283269492504528</v>
      </c>
      <c r="U218">
        <f t="shared" si="124"/>
        <v>6.5162137314770945</v>
      </c>
      <c r="V218">
        <f t="shared" si="125"/>
        <v>6.6156627754944344</v>
      </c>
      <c r="W218">
        <f t="shared" si="126"/>
        <v>6.5001493052070272</v>
      </c>
      <c r="X218">
        <f t="shared" si="127"/>
        <v>7.4281580314028934</v>
      </c>
      <c r="Y218">
        <f t="shared" si="128"/>
        <v>6.9319445772514117</v>
      </c>
      <c r="Z218">
        <f t="shared" si="129"/>
        <v>7.029636650146621</v>
      </c>
      <c r="AA218">
        <f t="shared" si="130"/>
        <v>6.9751206135131518</v>
      </c>
      <c r="AB218">
        <f t="shared" si="131"/>
        <v>6.915668455341736</v>
      </c>
      <c r="AC218">
        <f t="shared" si="132"/>
        <v>6.5405124782110269</v>
      </c>
      <c r="AD218">
        <f t="shared" si="133"/>
        <v>6.8626314546123028</v>
      </c>
      <c r="AE218">
        <f t="shared" si="134"/>
        <v>6.6822640621782154</v>
      </c>
      <c r="AF218">
        <f t="shared" si="135"/>
        <v>7.0132535682960597</v>
      </c>
      <c r="AG218">
        <f t="shared" si="136"/>
        <v>7.0789790348980013</v>
      </c>
      <c r="AH218">
        <f t="shared" si="137"/>
        <v>6.9037752242483172</v>
      </c>
      <c r="AI218">
        <f t="shared" si="138"/>
        <v>7.2028364032348522</v>
      </c>
      <c r="AJ218" t="str">
        <f t="shared" si="139"/>
        <v>C00475</v>
      </c>
      <c r="AL218">
        <f t="shared" si="140"/>
        <v>6.8640708321727253</v>
      </c>
      <c r="AM218">
        <f t="shared" si="141"/>
        <v>0.26563862177483671</v>
      </c>
      <c r="AN218">
        <f t="shared" si="142"/>
        <v>-0.88746087201919022</v>
      </c>
      <c r="AO218">
        <f t="shared" si="143"/>
        <v>-1.3095125188177077</v>
      </c>
      <c r="AP218">
        <f t="shared" si="144"/>
        <v>-0.93513531661389604</v>
      </c>
      <c r="AQ218">
        <f t="shared" si="145"/>
        <v>-1.3699872576291596</v>
      </c>
      <c r="AR218">
        <f t="shared" si="146"/>
        <v>2.1235134991338174</v>
      </c>
      <c r="AS218">
        <f t="shared" si="147"/>
        <v>0.25551158421616194</v>
      </c>
      <c r="AT218">
        <f t="shared" si="148"/>
        <v>0.62327464608754923</v>
      </c>
      <c r="AU218">
        <f t="shared" si="149"/>
        <v>0.41804832670211511</v>
      </c>
      <c r="AV218">
        <f t="shared" si="150"/>
        <v>0.19423991445320188</v>
      </c>
      <c r="AW218">
        <f t="shared" si="151"/>
        <v>-1.218039574967966</v>
      </c>
      <c r="AX218">
        <f t="shared" si="152"/>
        <v>-5.4185552944274419E-3</v>
      </c>
      <c r="AY218">
        <f t="shared" si="153"/>
        <v>-0.68441391835188303</v>
      </c>
      <c r="AZ218">
        <f t="shared" si="154"/>
        <v>0.5616003242547547</v>
      </c>
      <c r="BA218">
        <f t="shared" si="155"/>
        <v>0.80902468658130089</v>
      </c>
      <c r="BB218">
        <f t="shared" si="156"/>
        <v>0.14946769340358418</v>
      </c>
      <c r="BC218">
        <f t="shared" si="157"/>
        <v>1.2752873388617216</v>
      </c>
      <c r="BD218" t="str">
        <f t="shared" si="158"/>
        <v>C00475</v>
      </c>
    </row>
    <row r="219" spans="1:56" x14ac:dyDescent="0.2">
      <c r="A219" t="s">
        <v>119</v>
      </c>
      <c r="B219">
        <v>4694995</v>
      </c>
      <c r="C219">
        <v>3000155.75</v>
      </c>
      <c r="D219">
        <v>3088237.5</v>
      </c>
      <c r="E219">
        <v>2341699.5</v>
      </c>
      <c r="F219">
        <v>6056729.5</v>
      </c>
      <c r="G219">
        <v>2910764.5</v>
      </c>
      <c r="H219">
        <v>2776496</v>
      </c>
      <c r="I219">
        <v>2811409</v>
      </c>
      <c r="J219">
        <v>3888671.25</v>
      </c>
      <c r="K219">
        <v>1768332.125</v>
      </c>
      <c r="L219">
        <v>3024965.25</v>
      </c>
      <c r="M219">
        <v>3425827.75</v>
      </c>
      <c r="N219">
        <v>3731486.75</v>
      </c>
      <c r="O219">
        <v>5318677</v>
      </c>
      <c r="P219">
        <v>4515285.5</v>
      </c>
      <c r="Q219">
        <v>3627294.5</v>
      </c>
      <c r="R219" s="2" t="s">
        <v>377</v>
      </c>
      <c r="S219" s="4" t="s">
        <v>422</v>
      </c>
      <c r="T219">
        <f t="shared" si="123"/>
        <v>6.6716351340944477</v>
      </c>
      <c r="U219">
        <f t="shared" si="124"/>
        <v>6.4771438012562488</v>
      </c>
      <c r="V219">
        <f t="shared" si="125"/>
        <v>6.4897106922379164</v>
      </c>
      <c r="W219">
        <f t="shared" si="126"/>
        <v>6.369531163210703</v>
      </c>
      <c r="X219">
        <f t="shared" si="127"/>
        <v>6.7822381780416023</v>
      </c>
      <c r="Y219">
        <f t="shared" si="128"/>
        <v>6.4640070695790408</v>
      </c>
      <c r="Z219">
        <f t="shared" si="129"/>
        <v>6.443497052136272</v>
      </c>
      <c r="AA219">
        <f t="shared" si="130"/>
        <v>6.4489240307807041</v>
      </c>
      <c r="AB219">
        <f t="shared" si="131"/>
        <v>6.5898012292503507</v>
      </c>
      <c r="AC219">
        <f t="shared" si="132"/>
        <v>6.2475638367565214</v>
      </c>
      <c r="AD219">
        <f t="shared" si="133"/>
        <v>6.4807203899571055</v>
      </c>
      <c r="AE219">
        <f t="shared" si="134"/>
        <v>6.5347655229303898</v>
      </c>
      <c r="AF219">
        <f t="shared" si="135"/>
        <v>6.5718819038387402</v>
      </c>
      <c r="AG219">
        <f t="shared" si="136"/>
        <v>6.7258036166832351</v>
      </c>
      <c r="AH219">
        <f t="shared" si="137"/>
        <v>6.6546852158133216</v>
      </c>
      <c r="AI219">
        <f t="shared" si="138"/>
        <v>6.5595828173760484</v>
      </c>
      <c r="AJ219" t="str">
        <f t="shared" si="139"/>
        <v>C03878</v>
      </c>
      <c r="AL219">
        <f t="shared" si="140"/>
        <v>6.5319682283714151</v>
      </c>
      <c r="AM219">
        <f t="shared" si="141"/>
        <v>0.1352807648299377</v>
      </c>
      <c r="AN219">
        <f t="shared" si="142"/>
        <v>1.0324225021835793</v>
      </c>
      <c r="AO219">
        <f t="shared" si="143"/>
        <v>-0.4052640239289485</v>
      </c>
      <c r="AP219">
        <f t="shared" si="144"/>
        <v>-0.31236913974149177</v>
      </c>
      <c r="AQ219">
        <f t="shared" si="145"/>
        <v>-1.200740292715766</v>
      </c>
      <c r="AR219">
        <f t="shared" si="146"/>
        <v>1.850003952777789</v>
      </c>
      <c r="AS219">
        <f t="shared" si="147"/>
        <v>-0.50237118985695195</v>
      </c>
      <c r="AT219">
        <f t="shared" si="148"/>
        <v>-0.65398193413794481</v>
      </c>
      <c r="AU219">
        <f t="shared" si="149"/>
        <v>-0.61386552400931804</v>
      </c>
      <c r="AV219">
        <f t="shared" si="150"/>
        <v>0.42750350318936947</v>
      </c>
      <c r="AW219">
        <f t="shared" si="151"/>
        <v>-2.1023269048812687</v>
      </c>
      <c r="AX219">
        <f t="shared" si="152"/>
        <v>-0.37882575899636256</v>
      </c>
      <c r="AY219">
        <f t="shared" si="153"/>
        <v>2.0677696215653438E-2</v>
      </c>
      <c r="AZ219">
        <f t="shared" si="154"/>
        <v>0.29504324223403661</v>
      </c>
      <c r="BA219">
        <f t="shared" si="155"/>
        <v>1.4328377619352737</v>
      </c>
      <c r="BB219">
        <f t="shared" si="156"/>
        <v>0.90712813160226291</v>
      </c>
      <c r="BC219">
        <f t="shared" si="157"/>
        <v>0.20412797813013395</v>
      </c>
      <c r="BD219" t="str">
        <f t="shared" si="158"/>
        <v>C03878</v>
      </c>
    </row>
    <row r="220" spans="1:56" x14ac:dyDescent="0.2">
      <c r="A220" t="s">
        <v>290</v>
      </c>
      <c r="B220">
        <v>273845</v>
      </c>
      <c r="C220">
        <v>267195.84379999997</v>
      </c>
      <c r="D220">
        <v>246322.26560000001</v>
      </c>
      <c r="E220">
        <v>218346.70310000001</v>
      </c>
      <c r="F220">
        <v>262347.71879999997</v>
      </c>
      <c r="G220">
        <v>147595.76560000001</v>
      </c>
      <c r="H220">
        <v>186834.75</v>
      </c>
      <c r="I220">
        <v>192854.54689999999</v>
      </c>
      <c r="J220">
        <v>344084.375</v>
      </c>
      <c r="K220">
        <v>236136.25</v>
      </c>
      <c r="L220">
        <v>170378.26560000001</v>
      </c>
      <c r="M220">
        <v>183841.01560000001</v>
      </c>
      <c r="N220">
        <v>132447.57810000001</v>
      </c>
      <c r="O220">
        <v>170095.10939999999</v>
      </c>
      <c r="P220">
        <v>171653.45310000001</v>
      </c>
      <c r="Q220">
        <v>201156.04689999999</v>
      </c>
      <c r="R220" s="2" t="s">
        <v>291</v>
      </c>
      <c r="S220" s="4" t="s">
        <v>422</v>
      </c>
      <c r="T220">
        <f t="shared" si="123"/>
        <v>5.437504815769703</v>
      </c>
      <c r="U220">
        <f t="shared" si="124"/>
        <v>5.4268296984563369</v>
      </c>
      <c r="V220">
        <f t="shared" si="125"/>
        <v>5.3915036704268617</v>
      </c>
      <c r="W220">
        <f t="shared" si="126"/>
        <v>5.3391466387291375</v>
      </c>
      <c r="X220">
        <f t="shared" si="127"/>
        <v>5.4188772922169219</v>
      </c>
      <c r="Y220">
        <f t="shared" si="128"/>
        <v>5.1690738981175564</v>
      </c>
      <c r="Z220">
        <f t="shared" si="129"/>
        <v>5.2714576552435339</v>
      </c>
      <c r="AA220">
        <f t="shared" si="130"/>
        <v>5.285229882612489</v>
      </c>
      <c r="AB220">
        <f t="shared" si="131"/>
        <v>5.5366649515940445</v>
      </c>
      <c r="AC220">
        <f t="shared" si="132"/>
        <v>5.3731626620745576</v>
      </c>
      <c r="AD220">
        <f t="shared" si="133"/>
        <v>5.2314141929423252</v>
      </c>
      <c r="AE220">
        <f t="shared" si="134"/>
        <v>5.2644424105405632</v>
      </c>
      <c r="AF220">
        <f t="shared" si="135"/>
        <v>5.1220440213163583</v>
      </c>
      <c r="AG220">
        <f t="shared" si="136"/>
        <v>5.2306918268922447</v>
      </c>
      <c r="AH220">
        <f t="shared" si="137"/>
        <v>5.2346525444188687</v>
      </c>
      <c r="AI220">
        <f t="shared" si="138"/>
        <v>5.3035330923178217</v>
      </c>
      <c r="AJ220" t="str">
        <f t="shared" si="139"/>
        <v>C00483</v>
      </c>
      <c r="AL220">
        <f t="shared" si="140"/>
        <v>5.3147643283543315</v>
      </c>
      <c r="AM220">
        <f t="shared" si="141"/>
        <v>0.1100918990456895</v>
      </c>
      <c r="AN220">
        <f t="shared" si="142"/>
        <v>1.1148911816339242</v>
      </c>
      <c r="AO220">
        <f t="shared" si="143"/>
        <v>1.0179256700395078</v>
      </c>
      <c r="AP220">
        <f t="shared" si="144"/>
        <v>0.69704803657426617</v>
      </c>
      <c r="AQ220">
        <f t="shared" si="145"/>
        <v>0.22147233889286461</v>
      </c>
      <c r="AR220">
        <f t="shared" si="146"/>
        <v>0.94569141567248483</v>
      </c>
      <c r="AS220">
        <f t="shared" si="147"/>
        <v>-1.3233528670107857</v>
      </c>
      <c r="AT220">
        <f t="shared" si="148"/>
        <v>-0.39336839028296539</v>
      </c>
      <c r="AU220">
        <f t="shared" si="149"/>
        <v>-0.26827083552791958</v>
      </c>
      <c r="AV220">
        <f t="shared" si="150"/>
        <v>2.0155944730104203</v>
      </c>
      <c r="AW220">
        <f t="shared" si="151"/>
        <v>0.53045077999780932</v>
      </c>
      <c r="AX220">
        <f t="shared" si="152"/>
        <v>-0.75709599102668734</v>
      </c>
      <c r="AY220">
        <f t="shared" si="153"/>
        <v>-0.45709010608386508</v>
      </c>
      <c r="AZ220">
        <f t="shared" si="154"/>
        <v>-1.7505403095825602</v>
      </c>
      <c r="BA220">
        <f t="shared" si="155"/>
        <v>-0.76365747335501732</v>
      </c>
      <c r="BB220">
        <f t="shared" si="156"/>
        <v>-0.72768100677612468</v>
      </c>
      <c r="BC220">
        <f t="shared" si="157"/>
        <v>-0.10201691617517454</v>
      </c>
      <c r="BD220" t="str">
        <f t="shared" si="158"/>
        <v>C00483</v>
      </c>
    </row>
    <row r="221" spans="1:56" x14ac:dyDescent="0.2">
      <c r="A221" t="s">
        <v>122</v>
      </c>
      <c r="B221">
        <v>5639250</v>
      </c>
      <c r="C221">
        <v>3787254.5</v>
      </c>
      <c r="D221">
        <v>4258986.5</v>
      </c>
      <c r="E221">
        <v>4885690</v>
      </c>
      <c r="F221">
        <v>5243424.5</v>
      </c>
      <c r="G221">
        <v>3932667.75</v>
      </c>
      <c r="H221">
        <v>3753607.5</v>
      </c>
      <c r="I221">
        <v>4572908</v>
      </c>
      <c r="J221">
        <v>3675640.75</v>
      </c>
      <c r="K221">
        <v>2257387.25</v>
      </c>
      <c r="L221">
        <v>2840723.5</v>
      </c>
      <c r="M221">
        <v>3495185.75</v>
      </c>
      <c r="N221">
        <v>3515148.75</v>
      </c>
      <c r="O221">
        <v>5000410</v>
      </c>
      <c r="P221">
        <v>4781382.5</v>
      </c>
      <c r="Q221">
        <v>3325936.75</v>
      </c>
      <c r="R221" s="2" t="s">
        <v>378</v>
      </c>
      <c r="S221" s="4" t="s">
        <v>422</v>
      </c>
      <c r="T221">
        <f t="shared" si="123"/>
        <v>6.751221348217328</v>
      </c>
      <c r="U221">
        <f t="shared" si="124"/>
        <v>6.5783244902889999</v>
      </c>
      <c r="V221">
        <f t="shared" si="125"/>
        <v>6.6293062634630893</v>
      </c>
      <c r="W221">
        <f t="shared" si="126"/>
        <v>6.6889259072627727</v>
      </c>
      <c r="X221">
        <f t="shared" si="127"/>
        <v>6.7196150189848831</v>
      </c>
      <c r="Y221">
        <f t="shared" si="128"/>
        <v>6.5946872567487329</v>
      </c>
      <c r="Z221">
        <f t="shared" si="129"/>
        <v>6.5744488581904861</v>
      </c>
      <c r="AA221">
        <f t="shared" si="130"/>
        <v>6.6601924641197483</v>
      </c>
      <c r="AB221">
        <f t="shared" si="131"/>
        <v>6.5653330576877034</v>
      </c>
      <c r="AC221">
        <f t="shared" si="132"/>
        <v>6.3536060677670774</v>
      </c>
      <c r="AD221">
        <f t="shared" si="133"/>
        <v>6.4534289640051856</v>
      </c>
      <c r="AE221">
        <f t="shared" si="134"/>
        <v>6.5434702610706514</v>
      </c>
      <c r="AF221">
        <f t="shared" si="135"/>
        <v>6.5459437077163836</v>
      </c>
      <c r="AG221">
        <f t="shared" si="136"/>
        <v>6.6990056150235162</v>
      </c>
      <c r="AH221">
        <f t="shared" si="137"/>
        <v>6.6795534876812797</v>
      </c>
      <c r="AI221">
        <f t="shared" si="138"/>
        <v>6.5219139858975801</v>
      </c>
      <c r="AJ221" t="str">
        <f t="shared" si="139"/>
        <v>C02711</v>
      </c>
      <c r="AL221">
        <f t="shared" si="140"/>
        <v>6.597436047132839</v>
      </c>
      <c r="AM221">
        <f t="shared" si="141"/>
        <v>0.10403589512300478</v>
      </c>
      <c r="AN221">
        <f t="shared" si="142"/>
        <v>1.4781946260246424</v>
      </c>
      <c r="AO221">
        <f t="shared" si="143"/>
        <v>-0.18370156589937511</v>
      </c>
      <c r="AP221">
        <f t="shared" si="144"/>
        <v>0.30633865640862806</v>
      </c>
      <c r="AQ221">
        <f t="shared" si="145"/>
        <v>0.87940667037816544</v>
      </c>
      <c r="AR221">
        <f t="shared" si="146"/>
        <v>1.1743924700949435</v>
      </c>
      <c r="AS221">
        <f t="shared" si="147"/>
        <v>-2.6421557490865617E-2</v>
      </c>
      <c r="AT221">
        <f t="shared" si="148"/>
        <v>-0.22095440150896495</v>
      </c>
      <c r="AU221">
        <f t="shared" si="149"/>
        <v>0.60321888817999259</v>
      </c>
      <c r="AV221">
        <f t="shared" si="150"/>
        <v>-0.30857608719739804</v>
      </c>
      <c r="AW221">
        <f t="shared" si="151"/>
        <v>-2.3437101115674945</v>
      </c>
      <c r="AX221">
        <f t="shared" si="152"/>
        <v>-1.3842057393497649</v>
      </c>
      <c r="AY221">
        <f t="shared" si="153"/>
        <v>-0.5187227542799745</v>
      </c>
      <c r="AZ221">
        <f t="shared" si="154"/>
        <v>-0.49494781926540388</v>
      </c>
      <c r="BA221">
        <f t="shared" si="155"/>
        <v>0.97629349726446246</v>
      </c>
      <c r="BB221">
        <f t="shared" si="156"/>
        <v>0.78931834489769792</v>
      </c>
      <c r="BC221">
        <f t="shared" si="157"/>
        <v>-0.72592311668935938</v>
      </c>
      <c r="BD221" t="str">
        <f t="shared" si="158"/>
        <v>C02711</v>
      </c>
    </row>
    <row r="222" spans="1:56" x14ac:dyDescent="0.2">
      <c r="A222" t="s">
        <v>122</v>
      </c>
      <c r="B222">
        <v>1156677</v>
      </c>
      <c r="C222">
        <v>763852.875</v>
      </c>
      <c r="D222">
        <v>1041386.25</v>
      </c>
      <c r="E222">
        <v>929501.8125</v>
      </c>
      <c r="F222">
        <v>1211543.875</v>
      </c>
      <c r="G222">
        <v>851671.75</v>
      </c>
      <c r="H222">
        <v>789434.125</v>
      </c>
      <c r="I222">
        <v>970152.75</v>
      </c>
      <c r="J222">
        <v>1093648.75</v>
      </c>
      <c r="K222">
        <v>669476.5625</v>
      </c>
      <c r="L222">
        <v>733216.9375</v>
      </c>
      <c r="M222">
        <v>794606.1875</v>
      </c>
      <c r="N222">
        <v>797727</v>
      </c>
      <c r="O222">
        <v>1139095</v>
      </c>
      <c r="P222">
        <v>955608.6875</v>
      </c>
      <c r="Q222">
        <v>901670.4375</v>
      </c>
      <c r="R222" s="2" t="s">
        <v>378</v>
      </c>
      <c r="S222" s="4" t="s">
        <v>422</v>
      </c>
      <c r="T222">
        <f t="shared" si="123"/>
        <v>6.063212099918128</v>
      </c>
      <c r="U222">
        <f t="shared" si="124"/>
        <v>5.8830097175695526</v>
      </c>
      <c r="V222">
        <f t="shared" si="125"/>
        <v>6.0176118391467135</v>
      </c>
      <c r="W222">
        <f t="shared" si="126"/>
        <v>5.9682502409696507</v>
      </c>
      <c r="X222">
        <f t="shared" si="127"/>
        <v>6.0833391463524897</v>
      </c>
      <c r="Y222">
        <f t="shared" si="128"/>
        <v>5.9302722419119629</v>
      </c>
      <c r="Z222">
        <f t="shared" si="129"/>
        <v>5.8973158957849465</v>
      </c>
      <c r="AA222">
        <f t="shared" si="130"/>
        <v>5.9868401190697069</v>
      </c>
      <c r="AB222">
        <f t="shared" si="131"/>
        <v>6.0388778609088076</v>
      </c>
      <c r="AC222">
        <f t="shared" si="132"/>
        <v>5.8257353775316121</v>
      </c>
      <c r="AD222">
        <f t="shared" si="133"/>
        <v>5.8652324887203831</v>
      </c>
      <c r="AE222">
        <f t="shared" si="134"/>
        <v>5.9001519425298703</v>
      </c>
      <c r="AF222">
        <f t="shared" si="135"/>
        <v>5.9018542915028656</v>
      </c>
      <c r="AG222">
        <f t="shared" si="136"/>
        <v>6.0565599455499388</v>
      </c>
      <c r="AH222">
        <f t="shared" si="137"/>
        <v>5.980280089294836</v>
      </c>
      <c r="AI222">
        <f t="shared" si="138"/>
        <v>5.9550478309691561</v>
      </c>
      <c r="AJ222" t="str">
        <f t="shared" si="139"/>
        <v>C02711</v>
      </c>
      <c r="AL222">
        <f t="shared" si="140"/>
        <v>5.959599445483164</v>
      </c>
      <c r="AM222">
        <f t="shared" si="141"/>
        <v>7.7744353511838449E-2</v>
      </c>
      <c r="AN222">
        <f t="shared" si="142"/>
        <v>1.3327354303510481</v>
      </c>
      <c r="AO222">
        <f t="shared" si="143"/>
        <v>-0.98514843141564967</v>
      </c>
      <c r="AP222">
        <f t="shared" si="144"/>
        <v>0.74619430277615861</v>
      </c>
      <c r="AQ222">
        <f t="shared" si="145"/>
        <v>0.11127233163202568</v>
      </c>
      <c r="AR222">
        <f t="shared" si="146"/>
        <v>1.5916229961380204</v>
      </c>
      <c r="AS222">
        <f t="shared" si="147"/>
        <v>-0.37722615529544967</v>
      </c>
      <c r="AT222">
        <f t="shared" si="148"/>
        <v>-0.80113277536912453</v>
      </c>
      <c r="AU222">
        <f t="shared" si="149"/>
        <v>0.3503878076803979</v>
      </c>
      <c r="AV222">
        <f t="shared" si="150"/>
        <v>1.0197321328753679</v>
      </c>
      <c r="AW222">
        <f t="shared" si="151"/>
        <v>-1.7218493936176071</v>
      </c>
      <c r="AX222">
        <f t="shared" si="152"/>
        <v>-1.2138110679434915</v>
      </c>
      <c r="AY222">
        <f t="shared" si="153"/>
        <v>-0.76465364065624897</v>
      </c>
      <c r="AZ222">
        <f t="shared" si="154"/>
        <v>-0.74275688679442631</v>
      </c>
      <c r="BA222">
        <f t="shared" si="155"/>
        <v>1.2471709608082373</v>
      </c>
      <c r="BB222">
        <f t="shared" si="156"/>
        <v>0.26600830642347395</v>
      </c>
      <c r="BC222">
        <f t="shared" si="157"/>
        <v>-5.8545917592777726E-2</v>
      </c>
      <c r="BD222" t="str">
        <f t="shared" si="158"/>
        <v>C02711</v>
      </c>
    </row>
    <row r="223" spans="1:56" x14ac:dyDescent="0.2">
      <c r="A223" t="s">
        <v>122</v>
      </c>
      <c r="B223">
        <v>2750423.25</v>
      </c>
      <c r="C223">
        <v>1676452.375</v>
      </c>
      <c r="D223">
        <v>1882873.875</v>
      </c>
      <c r="E223">
        <v>1712296.5</v>
      </c>
      <c r="F223">
        <v>3100855.5</v>
      </c>
      <c r="G223">
        <v>1958781.125</v>
      </c>
      <c r="H223">
        <v>1509950.875</v>
      </c>
      <c r="I223">
        <v>1706727.875</v>
      </c>
      <c r="J223">
        <v>2008883.875</v>
      </c>
      <c r="K223">
        <v>1122948.625</v>
      </c>
      <c r="L223">
        <v>1339434.5</v>
      </c>
      <c r="M223">
        <v>1324233</v>
      </c>
      <c r="N223">
        <v>1522907</v>
      </c>
      <c r="O223">
        <v>2173252.25</v>
      </c>
      <c r="P223">
        <v>1503370.625</v>
      </c>
      <c r="Q223">
        <v>2097185.25</v>
      </c>
      <c r="R223" s="2" t="s">
        <v>378</v>
      </c>
      <c r="S223" s="4" t="s">
        <v>422</v>
      </c>
      <c r="T223">
        <f t="shared" si="123"/>
        <v>6.4393995305559013</v>
      </c>
      <c r="U223">
        <f t="shared" si="124"/>
        <v>6.224391220414117</v>
      </c>
      <c r="V223">
        <f t="shared" si="125"/>
        <v>6.274821229615144</v>
      </c>
      <c r="W223">
        <f t="shared" si="126"/>
        <v>6.2335789689652747</v>
      </c>
      <c r="X223">
        <f t="shared" si="127"/>
        <v>6.4914815285672782</v>
      </c>
      <c r="Y223">
        <f t="shared" si="128"/>
        <v>6.2919859104636808</v>
      </c>
      <c r="Z223">
        <f t="shared" si="129"/>
        <v>6.1789628181120611</v>
      </c>
      <c r="AA223">
        <f t="shared" si="130"/>
        <v>6.2321642816261358</v>
      </c>
      <c r="AB223">
        <f t="shared" si="131"/>
        <v>6.3029548327640157</v>
      </c>
      <c r="AC223">
        <f t="shared" si="132"/>
        <v>6.0503598877045697</v>
      </c>
      <c r="AD223">
        <f t="shared" si="133"/>
        <v>6.1269214809273684</v>
      </c>
      <c r="AE223">
        <f t="shared" si="134"/>
        <v>6.12196440633591</v>
      </c>
      <c r="AF223">
        <f t="shared" si="135"/>
        <v>6.1826733829026681</v>
      </c>
      <c r="AG223">
        <f t="shared" si="136"/>
        <v>6.3371101379289092</v>
      </c>
      <c r="AH223">
        <f t="shared" si="137"/>
        <v>6.1770660601278218</v>
      </c>
      <c r="AI223">
        <f t="shared" si="138"/>
        <v>6.3216367945565937</v>
      </c>
      <c r="AJ223" t="str">
        <f t="shared" si="139"/>
        <v>C02711</v>
      </c>
      <c r="AL223">
        <f t="shared" si="140"/>
        <v>6.2492170294729652</v>
      </c>
      <c r="AM223">
        <f t="shared" si="141"/>
        <v>0.11535988020969937</v>
      </c>
      <c r="AN223">
        <f t="shared" si="142"/>
        <v>1.6486017559763877</v>
      </c>
      <c r="AO223">
        <f t="shared" si="143"/>
        <v>-0.21520314526783724</v>
      </c>
      <c r="AP223">
        <f t="shared" si="144"/>
        <v>0.22195064779571441</v>
      </c>
      <c r="AQ223">
        <f t="shared" si="145"/>
        <v>-0.13555891770400449</v>
      </c>
      <c r="AR223">
        <f t="shared" si="146"/>
        <v>2.1000758552620584</v>
      </c>
      <c r="AS223">
        <f t="shared" si="147"/>
        <v>0.3707431120158155</v>
      </c>
      <c r="AT223">
        <f t="shared" si="148"/>
        <v>-0.60900038413005597</v>
      </c>
      <c r="AU223">
        <f t="shared" si="149"/>
        <v>-0.14782217020190386</v>
      </c>
      <c r="AV223">
        <f t="shared" si="150"/>
        <v>0.46582748866734919</v>
      </c>
      <c r="AW223">
        <f t="shared" si="151"/>
        <v>-1.7237980952036025</v>
      </c>
      <c r="AX223">
        <f t="shared" si="152"/>
        <v>-1.0601220140250653</v>
      </c>
      <c r="AY223">
        <f t="shared" si="153"/>
        <v>-1.1030925388075767</v>
      </c>
      <c r="AZ223">
        <f t="shared" si="154"/>
        <v>-0.57683526065851587</v>
      </c>
      <c r="BA223">
        <f t="shared" si="155"/>
        <v>0.76190360371537569</v>
      </c>
      <c r="BB223">
        <f t="shared" si="156"/>
        <v>-0.6254424780433937</v>
      </c>
      <c r="BC223">
        <f t="shared" si="157"/>
        <v>0.62777254060930854</v>
      </c>
      <c r="BD223" t="str">
        <f t="shared" si="158"/>
        <v>C02711</v>
      </c>
    </row>
    <row r="224" spans="1:56" x14ac:dyDescent="0.2">
      <c r="A224" t="s">
        <v>125</v>
      </c>
      <c r="B224">
        <v>3922709504</v>
      </c>
      <c r="C224">
        <v>3230375936</v>
      </c>
      <c r="D224">
        <v>3537760256</v>
      </c>
      <c r="E224">
        <v>3069300992</v>
      </c>
      <c r="F224">
        <v>3442187008</v>
      </c>
      <c r="G224">
        <v>2461895424</v>
      </c>
      <c r="H224">
        <v>2547259648</v>
      </c>
      <c r="I224">
        <v>2797736960</v>
      </c>
      <c r="J224">
        <v>2538879232</v>
      </c>
      <c r="K224">
        <v>1986719232</v>
      </c>
      <c r="L224">
        <v>2177155840</v>
      </c>
      <c r="M224">
        <v>2456357376</v>
      </c>
      <c r="N224">
        <v>1767834752</v>
      </c>
      <c r="O224">
        <v>2133437056</v>
      </c>
      <c r="P224">
        <v>2088566912</v>
      </c>
      <c r="Q224">
        <v>1967295872</v>
      </c>
      <c r="R224" s="2" t="s">
        <v>379</v>
      </c>
      <c r="S224" s="4" t="s">
        <v>422</v>
      </c>
      <c r="T224">
        <f t="shared" si="123"/>
        <v>9.5935861476704183</v>
      </c>
      <c r="U224">
        <f t="shared" si="124"/>
        <v>9.5092530664270356</v>
      </c>
      <c r="V224">
        <f t="shared" si="125"/>
        <v>9.5487283986629823</v>
      </c>
      <c r="W224">
        <f t="shared" si="126"/>
        <v>9.4870394797498339</v>
      </c>
      <c r="X224">
        <f t="shared" si="127"/>
        <v>9.5368344610921394</v>
      </c>
      <c r="Y224">
        <f t="shared" si="128"/>
        <v>9.3912696010955692</v>
      </c>
      <c r="Z224">
        <f t="shared" si="129"/>
        <v>9.4060732158494851</v>
      </c>
      <c r="AA224">
        <f t="shared" si="130"/>
        <v>9.4468068802092198</v>
      </c>
      <c r="AB224">
        <f t="shared" si="131"/>
        <v>9.4046420430858522</v>
      </c>
      <c r="AC224">
        <f t="shared" si="132"/>
        <v>9.2981364958924857</v>
      </c>
      <c r="AD224">
        <f t="shared" si="133"/>
        <v>9.3378895167901668</v>
      </c>
      <c r="AE224">
        <f t="shared" si="134"/>
        <v>9.3902915526701509</v>
      </c>
      <c r="AF224">
        <f t="shared" si="135"/>
        <v>9.2474416669844004</v>
      </c>
      <c r="AG224">
        <f t="shared" si="136"/>
        <v>9.3290798341486365</v>
      </c>
      <c r="AH224">
        <f t="shared" si="137"/>
        <v>9.3198483934373257</v>
      </c>
      <c r="AI224">
        <f t="shared" si="138"/>
        <v>9.2938696806686512</v>
      </c>
      <c r="AJ224" t="str">
        <f t="shared" si="139"/>
        <v>C00719</v>
      </c>
      <c r="AL224">
        <f t="shared" si="140"/>
        <v>9.4087994021521482</v>
      </c>
      <c r="AM224">
        <f t="shared" si="141"/>
        <v>0.10303331188144968</v>
      </c>
      <c r="AN224">
        <f t="shared" si="142"/>
        <v>1.793466036798721</v>
      </c>
      <c r="AO224">
        <f t="shared" si="143"/>
        <v>0.9749629749888038</v>
      </c>
      <c r="AP224">
        <f t="shared" si="144"/>
        <v>1.3580947167051827</v>
      </c>
      <c r="AQ224">
        <f t="shared" si="145"/>
        <v>0.75936681223747204</v>
      </c>
      <c r="AR224">
        <f t="shared" si="146"/>
        <v>1.2426569291231617</v>
      </c>
      <c r="AS224">
        <f t="shared" si="147"/>
        <v>-0.17013721811397073</v>
      </c>
      <c r="AT224">
        <f t="shared" si="148"/>
        <v>-2.645927082107033E-2</v>
      </c>
      <c r="AU224">
        <f t="shared" si="149"/>
        <v>0.36888533779058841</v>
      </c>
      <c r="AV224">
        <f t="shared" si="150"/>
        <v>-4.0349659642887739E-2</v>
      </c>
      <c r="AW224">
        <f t="shared" si="151"/>
        <v>-1.0740497829186681</v>
      </c>
      <c r="AX224">
        <f t="shared" si="152"/>
        <v>-0.688222906428267</v>
      </c>
      <c r="AY224">
        <f t="shared" si="153"/>
        <v>-0.17962976385047591</v>
      </c>
      <c r="AZ224">
        <f t="shared" si="154"/>
        <v>-1.5660734593624077</v>
      </c>
      <c r="BA224">
        <f t="shared" si="155"/>
        <v>-0.77372615271493106</v>
      </c>
      <c r="BB224">
        <f t="shared" si="156"/>
        <v>-0.86332281366602692</v>
      </c>
      <c r="BC224">
        <f t="shared" si="157"/>
        <v>-1.1154617801253963</v>
      </c>
      <c r="BD224" t="str">
        <f t="shared" si="158"/>
        <v>C00719</v>
      </c>
    </row>
    <row r="225" spans="1:56" x14ac:dyDescent="0.2">
      <c r="A225" t="s">
        <v>126</v>
      </c>
      <c r="B225">
        <v>132884.1562</v>
      </c>
      <c r="C225">
        <v>91875.726559999996</v>
      </c>
      <c r="D225">
        <v>105258.5156</v>
      </c>
      <c r="E225">
        <v>57982.953119999998</v>
      </c>
      <c r="F225">
        <v>91561.507809999996</v>
      </c>
      <c r="G225">
        <v>77824.359379999994</v>
      </c>
      <c r="H225">
        <v>64547.417970000002</v>
      </c>
      <c r="I225">
        <v>61968.085939999997</v>
      </c>
      <c r="J225">
        <v>243276.92189999999</v>
      </c>
      <c r="K225">
        <v>75618.617190000004</v>
      </c>
      <c r="L225">
        <v>76340.992190000004</v>
      </c>
      <c r="M225">
        <v>68669.796879999994</v>
      </c>
      <c r="N225">
        <v>111615.1406</v>
      </c>
      <c r="O225">
        <v>117506.41409999999</v>
      </c>
      <c r="P225">
        <v>127935.7188</v>
      </c>
      <c r="Q225">
        <v>140860.125</v>
      </c>
      <c r="R225" s="2" t="s">
        <v>127</v>
      </c>
      <c r="S225" s="4" t="s">
        <v>422</v>
      </c>
      <c r="T225">
        <f t="shared" si="123"/>
        <v>5.1234732030262533</v>
      </c>
      <c r="U225">
        <f t="shared" si="124"/>
        <v>4.9632007865385219</v>
      </c>
      <c r="V225">
        <f t="shared" si="125"/>
        <v>5.0222572411204132</v>
      </c>
      <c r="W225">
        <f t="shared" si="126"/>
        <v>4.7633003305612318</v>
      </c>
      <c r="X225">
        <f t="shared" si="127"/>
        <v>4.9617129359047656</v>
      </c>
      <c r="Y225">
        <f t="shared" si="128"/>
        <v>4.8911155544252107</v>
      </c>
      <c r="Z225">
        <f t="shared" si="129"/>
        <v>4.8098788742738687</v>
      </c>
      <c r="AA225">
        <f t="shared" si="130"/>
        <v>4.7921680819406438</v>
      </c>
      <c r="AB225">
        <f t="shared" si="131"/>
        <v>5.3861009121907379</v>
      </c>
      <c r="AC225">
        <f t="shared" si="132"/>
        <v>4.8786287313147545</v>
      </c>
      <c r="AD225">
        <f t="shared" si="133"/>
        <v>4.882757800096206</v>
      </c>
      <c r="AE225">
        <f t="shared" si="134"/>
        <v>4.836765762786289</v>
      </c>
      <c r="AF225">
        <f t="shared" si="135"/>
        <v>5.0477231106681417</v>
      </c>
      <c r="AG225">
        <f t="shared" si="136"/>
        <v>5.0700615732648497</v>
      </c>
      <c r="AH225">
        <f t="shared" si="137"/>
        <v>5.1069918135329813</v>
      </c>
      <c r="AI225">
        <f t="shared" si="138"/>
        <v>5.1487880694516424</v>
      </c>
      <c r="AJ225" t="str">
        <f t="shared" si="139"/>
        <v>C01717</v>
      </c>
      <c r="AL225">
        <f t="shared" si="140"/>
        <v>4.9803077988185329</v>
      </c>
      <c r="AM225">
        <f t="shared" si="141"/>
        <v>0.16422476144169076</v>
      </c>
      <c r="AN225">
        <f t="shared" si="142"/>
        <v>0.87176503074752432</v>
      </c>
      <c r="AO225">
        <f t="shared" si="143"/>
        <v>-0.10416828820351165</v>
      </c>
      <c r="AP225">
        <f t="shared" si="144"/>
        <v>0.25543920376937013</v>
      </c>
      <c r="AQ225">
        <f t="shared" si="145"/>
        <v>-1.3214052884123155</v>
      </c>
      <c r="AR225">
        <f t="shared" si="146"/>
        <v>-0.11322813168079757</v>
      </c>
      <c r="AS225">
        <f t="shared" si="147"/>
        <v>-0.54311081721370358</v>
      </c>
      <c r="AT225">
        <f t="shared" si="148"/>
        <v>-1.0377784875344529</v>
      </c>
      <c r="AU225">
        <f t="shared" si="149"/>
        <v>-1.1456233227331527</v>
      </c>
      <c r="AV225">
        <f t="shared" si="150"/>
        <v>2.470961807524287</v>
      </c>
      <c r="AW225">
        <f t="shared" si="151"/>
        <v>-0.61914577686800498</v>
      </c>
      <c r="AX225">
        <f t="shared" si="152"/>
        <v>-0.59400298630948423</v>
      </c>
      <c r="AY225">
        <f t="shared" si="153"/>
        <v>-0.87405842317639526</v>
      </c>
      <c r="AZ225">
        <f t="shared" si="154"/>
        <v>0.41050637710041749</v>
      </c>
      <c r="BA225">
        <f t="shared" si="155"/>
        <v>0.54653009484312498</v>
      </c>
      <c r="BB225">
        <f t="shared" si="156"/>
        <v>0.77140629465568422</v>
      </c>
      <c r="BC225">
        <f t="shared" si="157"/>
        <v>1.0259127134913186</v>
      </c>
      <c r="BD225" t="str">
        <f t="shared" si="158"/>
        <v>C01717</v>
      </c>
    </row>
    <row r="226" spans="1:56" x14ac:dyDescent="0.2">
      <c r="A226" t="s">
        <v>130</v>
      </c>
      <c r="B226">
        <v>37098932</v>
      </c>
      <c r="C226">
        <v>15734220</v>
      </c>
      <c r="D226">
        <v>32193672</v>
      </c>
      <c r="E226">
        <v>22463000</v>
      </c>
      <c r="F226">
        <v>23586630</v>
      </c>
      <c r="G226">
        <v>18317574</v>
      </c>
      <c r="H226">
        <v>19075612</v>
      </c>
      <c r="I226">
        <v>23498404</v>
      </c>
      <c r="J226">
        <v>12699540</v>
      </c>
      <c r="K226">
        <v>4814236</v>
      </c>
      <c r="L226">
        <v>4243018.5</v>
      </c>
      <c r="M226">
        <v>7780547.5</v>
      </c>
      <c r="N226">
        <v>9069985</v>
      </c>
      <c r="O226">
        <v>15381718</v>
      </c>
      <c r="P226">
        <v>13210011</v>
      </c>
      <c r="Q226">
        <v>9688662</v>
      </c>
      <c r="R226" s="2" t="s">
        <v>380</v>
      </c>
      <c r="S226" s="4" t="s">
        <v>422</v>
      </c>
      <c r="T226">
        <f t="shared" si="123"/>
        <v>7.5693614073729192</v>
      </c>
      <c r="U226">
        <f t="shared" si="124"/>
        <v>7.1968452182951719</v>
      </c>
      <c r="V226">
        <f t="shared" si="125"/>
        <v>7.5077705150014546</v>
      </c>
      <c r="W226">
        <f t="shared" si="126"/>
        <v>7.3514677571097611</v>
      </c>
      <c r="X226">
        <f t="shared" si="127"/>
        <v>7.3726658943847534</v>
      </c>
      <c r="Y226">
        <f t="shared" si="128"/>
        <v>7.2628679546931911</v>
      </c>
      <c r="Z226">
        <f t="shared" si="129"/>
        <v>7.2804784802551881</v>
      </c>
      <c r="AA226">
        <f t="shared" si="130"/>
        <v>7.3710383662065766</v>
      </c>
      <c r="AB226">
        <f t="shared" si="131"/>
        <v>7.1037879903197565</v>
      </c>
      <c r="AC226">
        <f t="shared" si="132"/>
        <v>6.6825273761312642</v>
      </c>
      <c r="AD226">
        <f t="shared" si="133"/>
        <v>6.6276749253396536</v>
      </c>
      <c r="AE226">
        <f t="shared" si="134"/>
        <v>6.8910101584116363</v>
      </c>
      <c r="AF226">
        <f t="shared" si="135"/>
        <v>6.9576065688216593</v>
      </c>
      <c r="AG226">
        <f t="shared" si="136"/>
        <v>7.1870048449745809</v>
      </c>
      <c r="AH226">
        <f t="shared" si="137"/>
        <v>7.1209031792524771</v>
      </c>
      <c r="AI226">
        <f t="shared" si="138"/>
        <v>6.9862638053130146</v>
      </c>
      <c r="AJ226" t="str">
        <f t="shared" si="139"/>
        <v>C00387</v>
      </c>
      <c r="AL226">
        <f t="shared" si="140"/>
        <v>7.1543296526176903</v>
      </c>
      <c r="AM226">
        <f t="shared" si="141"/>
        <v>0.27094348494793163</v>
      </c>
      <c r="AN226">
        <f t="shared" si="142"/>
        <v>1.5318019358722994</v>
      </c>
      <c r="AO226">
        <f t="shared" si="143"/>
        <v>0.1569167300171547</v>
      </c>
      <c r="AP226">
        <f t="shared" si="144"/>
        <v>1.3044818643699316</v>
      </c>
      <c r="AQ226">
        <f t="shared" si="145"/>
        <v>0.72759861537159931</v>
      </c>
      <c r="AR226">
        <f t="shared" si="146"/>
        <v>0.80583684014037738</v>
      </c>
      <c r="AS226">
        <f t="shared" si="147"/>
        <v>0.40059388066245299</v>
      </c>
      <c r="AT226">
        <f t="shared" si="148"/>
        <v>0.46559092447541361</v>
      </c>
      <c r="AU226">
        <f t="shared" si="149"/>
        <v>0.7998299484135305</v>
      </c>
      <c r="AV226">
        <f t="shared" si="150"/>
        <v>-0.18653950032290528</v>
      </c>
      <c r="AW226">
        <f t="shared" si="151"/>
        <v>-1.7413309516451163</v>
      </c>
      <c r="AX226">
        <f t="shared" si="152"/>
        <v>-1.9437807385523447</v>
      </c>
      <c r="AY226">
        <f t="shared" si="153"/>
        <v>-0.97186132472112097</v>
      </c>
      <c r="AZ226">
        <f t="shared" si="154"/>
        <v>-0.72606685425130668</v>
      </c>
      <c r="BA226">
        <f t="shared" si="155"/>
        <v>0.12059781530886406</v>
      </c>
      <c r="BB226">
        <f t="shared" si="156"/>
        <v>-0.12337064820597887</v>
      </c>
      <c r="BC226">
        <f t="shared" si="157"/>
        <v>-0.62029853693279835</v>
      </c>
      <c r="BD226" t="str">
        <f t="shared" si="158"/>
        <v>C00387</v>
      </c>
    </row>
    <row r="227" spans="1:56" x14ac:dyDescent="0.2">
      <c r="A227" t="s">
        <v>292</v>
      </c>
      <c r="B227">
        <v>780793.375</v>
      </c>
      <c r="C227">
        <v>797589.75</v>
      </c>
      <c r="D227">
        <v>720175.6875</v>
      </c>
      <c r="E227">
        <v>492588.03120000003</v>
      </c>
      <c r="F227">
        <v>429208.875</v>
      </c>
      <c r="G227">
        <v>320209.6875</v>
      </c>
      <c r="H227">
        <v>331262.59379999997</v>
      </c>
      <c r="I227">
        <v>425993.4375</v>
      </c>
      <c r="J227">
        <v>603693.5</v>
      </c>
      <c r="K227">
        <v>202657.5</v>
      </c>
      <c r="L227">
        <v>231193.0625</v>
      </c>
      <c r="M227">
        <v>269942.65620000003</v>
      </c>
      <c r="N227">
        <v>309332.40620000003</v>
      </c>
      <c r="O227">
        <v>306871.59379999997</v>
      </c>
      <c r="P227">
        <v>323017.625</v>
      </c>
      <c r="Q227">
        <v>284844.375</v>
      </c>
      <c r="R227" s="2" t="s">
        <v>293</v>
      </c>
      <c r="S227" s="4" t="s">
        <v>422</v>
      </c>
      <c r="T227">
        <f t="shared" si="123"/>
        <v>5.8925361197032702</v>
      </c>
      <c r="U227">
        <f t="shared" si="124"/>
        <v>5.9017795641262634</v>
      </c>
      <c r="V227">
        <f t="shared" si="125"/>
        <v>5.8574384558816748</v>
      </c>
      <c r="W227">
        <f t="shared" si="126"/>
        <v>5.692483855235638</v>
      </c>
      <c r="X227">
        <f t="shared" si="127"/>
        <v>5.632668693544792</v>
      </c>
      <c r="Y227">
        <f t="shared" si="128"/>
        <v>5.5054344667592678</v>
      </c>
      <c r="Z227">
        <f t="shared" si="129"/>
        <v>5.5201723980810993</v>
      </c>
      <c r="AA227">
        <f t="shared" si="130"/>
        <v>5.629402908775277</v>
      </c>
      <c r="AB227">
        <f t="shared" si="131"/>
        <v>5.7808164998068774</v>
      </c>
      <c r="AC227">
        <f t="shared" si="132"/>
        <v>5.3067626808551198</v>
      </c>
      <c r="AD227">
        <f t="shared" si="133"/>
        <v>5.363974797900859</v>
      </c>
      <c r="AE227">
        <f t="shared" si="134"/>
        <v>5.4312715169704422</v>
      </c>
      <c r="AF227">
        <f t="shared" si="135"/>
        <v>5.4904254198305766</v>
      </c>
      <c r="AG227">
        <f t="shared" si="136"/>
        <v>5.4869566889307535</v>
      </c>
      <c r="AH227">
        <f t="shared" si="137"/>
        <v>5.5092262196419783</v>
      </c>
      <c r="AI227">
        <f t="shared" si="138"/>
        <v>5.4546076475926588</v>
      </c>
      <c r="AJ227" t="str">
        <f t="shared" si="139"/>
        <v>C01004</v>
      </c>
      <c r="AL227">
        <f t="shared" si="140"/>
        <v>5.5909973708522838</v>
      </c>
      <c r="AM227">
        <f t="shared" si="141"/>
        <v>0.18698490762138015</v>
      </c>
      <c r="AN227">
        <f t="shared" si="142"/>
        <v>1.6126368308909869</v>
      </c>
      <c r="AO227">
        <f t="shared" si="143"/>
        <v>1.6620710046998697</v>
      </c>
      <c r="AP227">
        <f t="shared" si="144"/>
        <v>1.4249336399325832</v>
      </c>
      <c r="AQ227">
        <f t="shared" si="145"/>
        <v>0.54275227703858897</v>
      </c>
      <c r="AR227">
        <f t="shared" si="146"/>
        <v>0.22285928432730642</v>
      </c>
      <c r="AS227">
        <f t="shared" si="147"/>
        <v>-0.45759256819951244</v>
      </c>
      <c r="AT227">
        <f t="shared" si="148"/>
        <v>-0.37877373993518104</v>
      </c>
      <c r="AU227">
        <f t="shared" si="149"/>
        <v>0.20539378504686295</v>
      </c>
      <c r="AV227">
        <f t="shared" si="150"/>
        <v>1.0151574871430393</v>
      </c>
      <c r="AW227">
        <f t="shared" si="151"/>
        <v>-1.5200942878914154</v>
      </c>
      <c r="AX227">
        <f t="shared" si="152"/>
        <v>-1.2141224435670266</v>
      </c>
      <c r="AY227">
        <f t="shared" si="153"/>
        <v>-0.85421789337814058</v>
      </c>
      <c r="AZ227">
        <f t="shared" si="154"/>
        <v>-0.53786132956437371</v>
      </c>
      <c r="BA227">
        <f t="shared" si="155"/>
        <v>-0.55641218986614127</v>
      </c>
      <c r="BB227">
        <f t="shared" si="156"/>
        <v>-0.4373141781896176</v>
      </c>
      <c r="BC227">
        <f t="shared" si="157"/>
        <v>-0.72941567848778577</v>
      </c>
      <c r="BD227" t="str">
        <f t="shared" si="158"/>
        <v>C01004</v>
      </c>
    </row>
    <row r="228" spans="1:56" x14ac:dyDescent="0.2">
      <c r="A228" t="s">
        <v>131</v>
      </c>
      <c r="B228">
        <v>1015861568</v>
      </c>
      <c r="C228">
        <v>597595840</v>
      </c>
      <c r="D228">
        <v>1135400192</v>
      </c>
      <c r="E228">
        <v>685117120</v>
      </c>
      <c r="F228">
        <v>786007168</v>
      </c>
      <c r="G228">
        <v>588395712</v>
      </c>
      <c r="H228">
        <v>643880192</v>
      </c>
      <c r="I228">
        <v>651191616</v>
      </c>
      <c r="J228">
        <v>336066880</v>
      </c>
      <c r="K228">
        <v>220665456</v>
      </c>
      <c r="L228">
        <v>230408128</v>
      </c>
      <c r="M228">
        <v>268260720</v>
      </c>
      <c r="N228">
        <v>283422304</v>
      </c>
      <c r="O228">
        <v>344726336</v>
      </c>
      <c r="P228">
        <v>281129248</v>
      </c>
      <c r="Q228">
        <v>247325952</v>
      </c>
      <c r="R228" s="2" t="s">
        <v>132</v>
      </c>
      <c r="S228" s="4" t="s">
        <v>422</v>
      </c>
      <c r="T228">
        <f t="shared" si="123"/>
        <v>9.0068345304382138</v>
      </c>
      <c r="U228">
        <f t="shared" si="124"/>
        <v>8.7764075655956066</v>
      </c>
      <c r="V228">
        <f t="shared" si="125"/>
        <v>9.0551489633300619</v>
      </c>
      <c r="W228">
        <f t="shared" si="126"/>
        <v>8.8357648199914802</v>
      </c>
      <c r="X228">
        <f t="shared" si="127"/>
        <v>8.8954265066102121</v>
      </c>
      <c r="Y228">
        <f t="shared" si="128"/>
        <v>8.7696694990970894</v>
      </c>
      <c r="Z228">
        <f t="shared" si="129"/>
        <v>8.8088050648849219</v>
      </c>
      <c r="AA228">
        <f t="shared" si="130"/>
        <v>8.8137088004370785</v>
      </c>
      <c r="AB228">
        <f t="shared" si="131"/>
        <v>8.5264257140702107</v>
      </c>
      <c r="AC228">
        <f t="shared" si="132"/>
        <v>8.3437343519981564</v>
      </c>
      <c r="AD228">
        <f t="shared" si="133"/>
        <v>8.3624977954251598</v>
      </c>
      <c r="AE228">
        <f t="shared" si="134"/>
        <v>8.4285570858805698</v>
      </c>
      <c r="AF228">
        <f t="shared" si="135"/>
        <v>8.4524340241858713</v>
      </c>
      <c r="AG228">
        <f t="shared" si="136"/>
        <v>8.537474463397988</v>
      </c>
      <c r="AH228">
        <f t="shared" si="137"/>
        <v>8.4489060308946282</v>
      </c>
      <c r="AI228">
        <f t="shared" si="138"/>
        <v>8.3932696894265977</v>
      </c>
      <c r="AJ228" t="str">
        <f t="shared" si="139"/>
        <v>C00079</v>
      </c>
      <c r="AL228">
        <f t="shared" si="140"/>
        <v>8.6534415566039904</v>
      </c>
      <c r="AM228">
        <f t="shared" si="141"/>
        <v>0.24043798324924845</v>
      </c>
      <c r="AN228">
        <f t="shared" si="142"/>
        <v>1.4697884629479732</v>
      </c>
      <c r="AO228">
        <f t="shared" si="143"/>
        <v>0.51142505576643582</v>
      </c>
      <c r="AP228">
        <f t="shared" si="144"/>
        <v>1.6707318922636454</v>
      </c>
      <c r="AQ228">
        <f t="shared" si="145"/>
        <v>0.75829642606212355</v>
      </c>
      <c r="AR228">
        <f t="shared" si="146"/>
        <v>1.0064339533049966</v>
      </c>
      <c r="AS228">
        <f t="shared" si="147"/>
        <v>0.48340092077969249</v>
      </c>
      <c r="AT228">
        <f t="shared" si="148"/>
        <v>0.64616873832232624</v>
      </c>
      <c r="AU228">
        <f t="shared" si="149"/>
        <v>0.66656375031622239</v>
      </c>
      <c r="AV228">
        <f t="shared" si="150"/>
        <v>-0.52826862385594708</v>
      </c>
      <c r="AW228">
        <f t="shared" si="151"/>
        <v>-1.2880960005590218</v>
      </c>
      <c r="AX228">
        <f t="shared" si="152"/>
        <v>-1.2100574012768426</v>
      </c>
      <c r="AY228">
        <f t="shared" si="153"/>
        <v>-0.93531174935158035</v>
      </c>
      <c r="AZ228">
        <f t="shared" si="154"/>
        <v>-0.83600573296169245</v>
      </c>
      <c r="BA228">
        <f t="shared" si="155"/>
        <v>-0.48231602860262673</v>
      </c>
      <c r="BB228">
        <f t="shared" si="156"/>
        <v>-0.85067892745270524</v>
      </c>
      <c r="BC228">
        <f t="shared" si="157"/>
        <v>-1.0820747357029994</v>
      </c>
      <c r="BD228" t="str">
        <f t="shared" si="158"/>
        <v>C00079</v>
      </c>
    </row>
    <row r="229" spans="1:56" x14ac:dyDescent="0.2">
      <c r="A229" t="s">
        <v>294</v>
      </c>
      <c r="B229">
        <v>43592832</v>
      </c>
      <c r="C229">
        <v>45039436</v>
      </c>
      <c r="D229">
        <v>32476852</v>
      </c>
      <c r="E229">
        <v>34955692</v>
      </c>
      <c r="F229">
        <v>54726656</v>
      </c>
      <c r="G229">
        <v>41719080</v>
      </c>
      <c r="H229">
        <v>35841196</v>
      </c>
      <c r="I229">
        <v>34330012</v>
      </c>
      <c r="J229">
        <v>48473440</v>
      </c>
      <c r="K229">
        <v>44788384</v>
      </c>
      <c r="L229">
        <v>42969084</v>
      </c>
      <c r="M229">
        <v>41109328</v>
      </c>
      <c r="N229">
        <v>48791544</v>
      </c>
      <c r="O229">
        <v>43722168</v>
      </c>
      <c r="P229">
        <v>43474232</v>
      </c>
      <c r="Q229">
        <v>50546712</v>
      </c>
      <c r="R229" s="2" t="s">
        <v>295</v>
      </c>
      <c r="S229" s="4" t="s">
        <v>422</v>
      </c>
      <c r="T229">
        <f t="shared" si="123"/>
        <v>7.6394150837921977</v>
      </c>
      <c r="U229">
        <f t="shared" si="124"/>
        <v>7.6535929434857985</v>
      </c>
      <c r="V229">
        <f t="shared" si="125"/>
        <v>7.5115739261945489</v>
      </c>
      <c r="W229">
        <f t="shared" si="126"/>
        <v>7.543517904056408</v>
      </c>
      <c r="X229">
        <f t="shared" si="127"/>
        <v>7.7381989119627788</v>
      </c>
      <c r="Y229">
        <f t="shared" si="128"/>
        <v>7.62033472268525</v>
      </c>
      <c r="Z229">
        <f t="shared" si="129"/>
        <v>7.5543824933877985</v>
      </c>
      <c r="AA229">
        <f t="shared" si="130"/>
        <v>7.5356739552327081</v>
      </c>
      <c r="AB229">
        <f t="shared" si="131"/>
        <v>7.6855038412619656</v>
      </c>
      <c r="AC229">
        <f t="shared" si="132"/>
        <v>7.65116539304206</v>
      </c>
      <c r="AD229">
        <f t="shared" si="133"/>
        <v>7.6331560956437441</v>
      </c>
      <c r="AE229">
        <f t="shared" si="134"/>
        <v>7.6139403775763315</v>
      </c>
      <c r="AF229">
        <f t="shared" si="135"/>
        <v>7.6883445615037447</v>
      </c>
      <c r="AG229">
        <f t="shared" si="136"/>
        <v>7.6407016886640466</v>
      </c>
      <c r="AH229">
        <f t="shared" si="137"/>
        <v>7.6382319186538608</v>
      </c>
      <c r="AI229">
        <f t="shared" si="138"/>
        <v>7.7036929105363372</v>
      </c>
      <c r="AJ229" t="str">
        <f t="shared" si="139"/>
        <v>C03375</v>
      </c>
      <c r="AL229">
        <f t="shared" si="140"/>
        <v>7.6282141704799731</v>
      </c>
      <c r="AM229">
        <f t="shared" si="141"/>
        <v>6.3941384640325866E-2</v>
      </c>
      <c r="AN229">
        <f t="shared" si="142"/>
        <v>0.17517470688553938</v>
      </c>
      <c r="AO229">
        <f t="shared" si="143"/>
        <v>0.39690684129820769</v>
      </c>
      <c r="AP229">
        <f t="shared" si="144"/>
        <v>-1.8241745145422261</v>
      </c>
      <c r="AQ229">
        <f t="shared" si="145"/>
        <v>-1.324592310598006</v>
      </c>
      <c r="AR229">
        <f t="shared" si="146"/>
        <v>1.7200869530973792</v>
      </c>
      <c r="AS229">
        <f t="shared" si="147"/>
        <v>-0.12322923313352403</v>
      </c>
      <c r="AT229">
        <f t="shared" si="148"/>
        <v>-1.1546774832525468</v>
      </c>
      <c r="AU229">
        <f t="shared" si="149"/>
        <v>-1.4472663638394641</v>
      </c>
      <c r="AV229">
        <f t="shared" si="150"/>
        <v>0.89597169508058649</v>
      </c>
      <c r="AW229">
        <f t="shared" si="151"/>
        <v>0.35894159457429542</v>
      </c>
      <c r="AX229">
        <f t="shared" si="152"/>
        <v>7.7288366393215235E-2</v>
      </c>
      <c r="AY229">
        <f t="shared" si="153"/>
        <v>-0.2232324649197473</v>
      </c>
      <c r="AZ229">
        <f t="shared" si="154"/>
        <v>0.94039863794018019</v>
      </c>
      <c r="BA229">
        <f t="shared" si="155"/>
        <v>0.195296336704571</v>
      </c>
      <c r="BB229">
        <f t="shared" si="156"/>
        <v>0.15667080452258128</v>
      </c>
      <c r="BC229">
        <f t="shared" si="157"/>
        <v>1.1804364337891113</v>
      </c>
      <c r="BD229" t="str">
        <f t="shared" si="158"/>
        <v>C03375</v>
      </c>
    </row>
    <row r="230" spans="1:56" x14ac:dyDescent="0.2">
      <c r="A230" t="s">
        <v>133</v>
      </c>
      <c r="B230">
        <v>124620.5781</v>
      </c>
      <c r="F230">
        <v>111359.2812</v>
      </c>
      <c r="H230">
        <v>61716.488279999998</v>
      </c>
      <c r="J230">
        <v>108531</v>
      </c>
      <c r="L230">
        <v>96179.84375</v>
      </c>
      <c r="N230">
        <v>53306.945310000003</v>
      </c>
      <c r="Q230">
        <v>101165.03909999999</v>
      </c>
      <c r="R230" s="2" t="s">
        <v>134</v>
      </c>
      <c r="S230" s="4" t="s">
        <v>422</v>
      </c>
      <c r="T230">
        <f t="shared" si="123"/>
        <v>5.0955897615637245</v>
      </c>
      <c r="U230" t="e">
        <f t="shared" si="124"/>
        <v>#NUM!</v>
      </c>
      <c r="V230" t="e">
        <f t="shared" si="125"/>
        <v>#NUM!</v>
      </c>
      <c r="W230" t="e">
        <f t="shared" si="126"/>
        <v>#NUM!</v>
      </c>
      <c r="X230">
        <f t="shared" si="127"/>
        <v>5.046726418998877</v>
      </c>
      <c r="Y230" t="e">
        <f t="shared" si="128"/>
        <v>#NUM!</v>
      </c>
      <c r="Z230">
        <f t="shared" si="129"/>
        <v>4.7904012063734909</v>
      </c>
      <c r="AA230" t="e">
        <f t="shared" si="130"/>
        <v>#NUM!</v>
      </c>
      <c r="AB230">
        <f t="shared" si="131"/>
        <v>5.0355538045993056</v>
      </c>
      <c r="AC230" t="e">
        <f t="shared" si="132"/>
        <v>#NUM!</v>
      </c>
      <c r="AD230">
        <f t="shared" si="133"/>
        <v>4.9830840672005881</v>
      </c>
      <c r="AE230" t="e">
        <f t="shared" si="134"/>
        <v>#NUM!</v>
      </c>
      <c r="AF230">
        <f t="shared" si="135"/>
        <v>4.7267837965181956</v>
      </c>
      <c r="AG230" t="e">
        <f t="shared" si="136"/>
        <v>#NUM!</v>
      </c>
      <c r="AH230" t="e">
        <f t="shared" si="137"/>
        <v>#NUM!</v>
      </c>
      <c r="AI230">
        <f t="shared" si="138"/>
        <v>5.0050304537172332</v>
      </c>
      <c r="AJ230" t="str">
        <f t="shared" si="139"/>
        <v>C02470</v>
      </c>
      <c r="AL230" t="e">
        <f t="shared" si="140"/>
        <v>#NUM!</v>
      </c>
      <c r="AM230" t="e">
        <f t="shared" si="141"/>
        <v>#NUM!</v>
      </c>
      <c r="AN230" t="e">
        <f t="shared" si="142"/>
        <v>#NUM!</v>
      </c>
      <c r="AO230" t="e">
        <f t="shared" si="143"/>
        <v>#NUM!</v>
      </c>
      <c r="AP230" t="e">
        <f t="shared" si="144"/>
        <v>#NUM!</v>
      </c>
      <c r="AQ230" t="e">
        <f t="shared" si="145"/>
        <v>#NUM!</v>
      </c>
      <c r="AR230" t="e">
        <f t="shared" si="146"/>
        <v>#NUM!</v>
      </c>
      <c r="AS230" t="e">
        <f t="shared" si="147"/>
        <v>#NUM!</v>
      </c>
      <c r="AT230" t="e">
        <f t="shared" si="148"/>
        <v>#NUM!</v>
      </c>
      <c r="AU230" t="e">
        <f t="shared" si="149"/>
        <v>#NUM!</v>
      </c>
      <c r="AV230" t="e">
        <f t="shared" si="150"/>
        <v>#NUM!</v>
      </c>
      <c r="AW230" t="e">
        <f t="shared" si="151"/>
        <v>#NUM!</v>
      </c>
      <c r="AX230" t="e">
        <f t="shared" si="152"/>
        <v>#NUM!</v>
      </c>
      <c r="AY230" t="e">
        <f t="shared" si="153"/>
        <v>#NUM!</v>
      </c>
      <c r="AZ230" t="e">
        <f t="shared" si="154"/>
        <v>#NUM!</v>
      </c>
      <c r="BA230" t="e">
        <f t="shared" si="155"/>
        <v>#NUM!</v>
      </c>
      <c r="BB230" t="e">
        <f t="shared" si="156"/>
        <v>#NUM!</v>
      </c>
      <c r="BC230" t="e">
        <f t="shared" si="157"/>
        <v>#NUM!</v>
      </c>
      <c r="BD230" t="str">
        <f t="shared" si="158"/>
        <v>C02470</v>
      </c>
    </row>
    <row r="231" spans="1:56" x14ac:dyDescent="0.2">
      <c r="A231" t="s">
        <v>137</v>
      </c>
      <c r="B231">
        <v>759551296</v>
      </c>
      <c r="C231">
        <v>488492608</v>
      </c>
      <c r="D231">
        <v>896350784</v>
      </c>
      <c r="E231">
        <v>523669632</v>
      </c>
      <c r="F231">
        <v>600865792</v>
      </c>
      <c r="G231">
        <v>446078432</v>
      </c>
      <c r="H231">
        <v>507997888</v>
      </c>
      <c r="I231">
        <v>519721056</v>
      </c>
      <c r="J231">
        <v>282982624</v>
      </c>
      <c r="K231">
        <v>203597296</v>
      </c>
      <c r="L231">
        <v>206269552</v>
      </c>
      <c r="M231">
        <v>251807744</v>
      </c>
      <c r="N231">
        <v>232843296</v>
      </c>
      <c r="O231">
        <v>295137792</v>
      </c>
      <c r="P231">
        <v>256335648</v>
      </c>
      <c r="Q231">
        <v>231827904</v>
      </c>
      <c r="R231" s="2" t="s">
        <v>138</v>
      </c>
      <c r="S231" s="4" t="s">
        <v>422</v>
      </c>
      <c r="T231">
        <f t="shared" si="123"/>
        <v>8.8805571090973867</v>
      </c>
      <c r="U231">
        <f t="shared" si="124"/>
        <v>8.6888579962449661</v>
      </c>
      <c r="V231">
        <f t="shared" si="125"/>
        <v>8.9524780026778288</v>
      </c>
      <c r="W231">
        <f t="shared" si="126"/>
        <v>8.7190573895645969</v>
      </c>
      <c r="X231">
        <f t="shared" si="127"/>
        <v>8.7787774798186575</v>
      </c>
      <c r="Y231">
        <f t="shared" si="128"/>
        <v>8.6494112255060713</v>
      </c>
      <c r="Z231">
        <f t="shared" si="129"/>
        <v>8.7058619067094067</v>
      </c>
      <c r="AA231">
        <f t="shared" si="130"/>
        <v>8.7157703122035954</v>
      </c>
      <c r="AB231">
        <f t="shared" si="131"/>
        <v>8.4517597693313729</v>
      </c>
      <c r="AC231">
        <f t="shared" si="132"/>
        <v>8.3087720057861496</v>
      </c>
      <c r="AD231">
        <f t="shared" si="133"/>
        <v>8.3144351253347235</v>
      </c>
      <c r="AE231">
        <f t="shared" si="134"/>
        <v>8.4010690821052521</v>
      </c>
      <c r="AF231">
        <f t="shared" si="135"/>
        <v>8.3670637382871309</v>
      </c>
      <c r="AG231">
        <f t="shared" si="136"/>
        <v>8.4700248238889557</v>
      </c>
      <c r="AH231">
        <f t="shared" si="137"/>
        <v>8.4088090067037022</v>
      </c>
      <c r="AI231">
        <f t="shared" si="138"/>
        <v>8.3651657086934446</v>
      </c>
      <c r="AJ231" t="str">
        <f t="shared" si="139"/>
        <v>C00123</v>
      </c>
      <c r="AL231">
        <f t="shared" si="140"/>
        <v>8.5736169176220773</v>
      </c>
      <c r="AM231">
        <f t="shared" si="141"/>
        <v>0.21034296419640647</v>
      </c>
      <c r="AN231">
        <f t="shared" si="142"/>
        <v>1.4592367881090895</v>
      </c>
      <c r="AO231">
        <f t="shared" si="143"/>
        <v>0.54787227641844549</v>
      </c>
      <c r="AP231">
        <f t="shared" si="144"/>
        <v>1.8011588193745915</v>
      </c>
      <c r="AQ231">
        <f t="shared" si="145"/>
        <v>0.6914444345602897</v>
      </c>
      <c r="AR231">
        <f t="shared" si="146"/>
        <v>0.97536213288794749</v>
      </c>
      <c r="AS231">
        <f t="shared" si="147"/>
        <v>0.36033678698766231</v>
      </c>
      <c r="AT231">
        <f t="shared" si="148"/>
        <v>0.62871125541354667</v>
      </c>
      <c r="AU231">
        <f t="shared" si="149"/>
        <v>0.67581720702948367</v>
      </c>
      <c r="AV231">
        <f t="shared" si="150"/>
        <v>-0.57932600102051002</v>
      </c>
      <c r="AW231">
        <f t="shared" si="151"/>
        <v>-1.2591099153125482</v>
      </c>
      <c r="AX231">
        <f t="shared" si="152"/>
        <v>-1.2321866494443066</v>
      </c>
      <c r="AY231">
        <f t="shared" si="153"/>
        <v>-0.82031664893582934</v>
      </c>
      <c r="AZ231">
        <f t="shared" si="154"/>
        <v>-0.98198283039350276</v>
      </c>
      <c r="BA231">
        <f t="shared" si="155"/>
        <v>-0.49249136584570102</v>
      </c>
      <c r="BB231">
        <f t="shared" si="156"/>
        <v>-0.78351996011849823</v>
      </c>
      <c r="BC231">
        <f t="shared" si="157"/>
        <v>-0.99100632971014291</v>
      </c>
      <c r="BD231" t="str">
        <f t="shared" si="158"/>
        <v>C00123</v>
      </c>
    </row>
    <row r="232" spans="1:56" x14ac:dyDescent="0.2">
      <c r="A232" t="s">
        <v>139</v>
      </c>
      <c r="B232">
        <v>759551296</v>
      </c>
      <c r="C232">
        <v>488492608</v>
      </c>
      <c r="D232">
        <v>896350784</v>
      </c>
      <c r="E232">
        <v>523669632</v>
      </c>
      <c r="F232">
        <v>600865792</v>
      </c>
      <c r="G232">
        <v>446078432</v>
      </c>
      <c r="H232">
        <v>507997888</v>
      </c>
      <c r="I232">
        <v>519721056</v>
      </c>
      <c r="J232">
        <v>282982624</v>
      </c>
      <c r="K232">
        <v>203597296</v>
      </c>
      <c r="L232">
        <v>206269552</v>
      </c>
      <c r="M232">
        <v>251807744</v>
      </c>
      <c r="N232">
        <v>232843296</v>
      </c>
      <c r="O232">
        <v>295137792</v>
      </c>
      <c r="P232">
        <v>256335648</v>
      </c>
      <c r="Q232">
        <v>231827904</v>
      </c>
      <c r="R232" s="2" t="s">
        <v>140</v>
      </c>
      <c r="S232" s="4" t="s">
        <v>422</v>
      </c>
      <c r="T232">
        <f t="shared" si="123"/>
        <v>8.8805571090973867</v>
      </c>
      <c r="U232">
        <f t="shared" si="124"/>
        <v>8.6888579962449661</v>
      </c>
      <c r="V232">
        <f t="shared" si="125"/>
        <v>8.9524780026778288</v>
      </c>
      <c r="W232">
        <f t="shared" si="126"/>
        <v>8.7190573895645969</v>
      </c>
      <c r="X232">
        <f t="shared" si="127"/>
        <v>8.7787774798186575</v>
      </c>
      <c r="Y232">
        <f t="shared" si="128"/>
        <v>8.6494112255060713</v>
      </c>
      <c r="Z232">
        <f t="shared" si="129"/>
        <v>8.7058619067094067</v>
      </c>
      <c r="AA232">
        <f t="shared" si="130"/>
        <v>8.7157703122035954</v>
      </c>
      <c r="AB232">
        <f t="shared" si="131"/>
        <v>8.4517597693313729</v>
      </c>
      <c r="AC232">
        <f t="shared" si="132"/>
        <v>8.3087720057861496</v>
      </c>
      <c r="AD232">
        <f t="shared" si="133"/>
        <v>8.3144351253347235</v>
      </c>
      <c r="AE232">
        <f t="shared" si="134"/>
        <v>8.4010690821052521</v>
      </c>
      <c r="AF232">
        <f t="shared" si="135"/>
        <v>8.3670637382871309</v>
      </c>
      <c r="AG232">
        <f t="shared" si="136"/>
        <v>8.4700248238889557</v>
      </c>
      <c r="AH232">
        <f t="shared" si="137"/>
        <v>8.4088090067037022</v>
      </c>
      <c r="AI232">
        <f t="shared" si="138"/>
        <v>8.3651657086934446</v>
      </c>
      <c r="AJ232" t="str">
        <f t="shared" si="139"/>
        <v>C01933</v>
      </c>
      <c r="AL232">
        <f t="shared" si="140"/>
        <v>8.5736169176220773</v>
      </c>
      <c r="AM232">
        <f t="shared" si="141"/>
        <v>0.21034296419640647</v>
      </c>
      <c r="AN232">
        <f t="shared" si="142"/>
        <v>1.4592367881090895</v>
      </c>
      <c r="AO232">
        <f t="shared" si="143"/>
        <v>0.54787227641844549</v>
      </c>
      <c r="AP232">
        <f t="shared" si="144"/>
        <v>1.8011588193745915</v>
      </c>
      <c r="AQ232">
        <f t="shared" si="145"/>
        <v>0.6914444345602897</v>
      </c>
      <c r="AR232">
        <f t="shared" si="146"/>
        <v>0.97536213288794749</v>
      </c>
      <c r="AS232">
        <f t="shared" si="147"/>
        <v>0.36033678698766231</v>
      </c>
      <c r="AT232">
        <f t="shared" si="148"/>
        <v>0.62871125541354667</v>
      </c>
      <c r="AU232">
        <f t="shared" si="149"/>
        <v>0.67581720702948367</v>
      </c>
      <c r="AV232">
        <f t="shared" si="150"/>
        <v>-0.57932600102051002</v>
      </c>
      <c r="AW232">
        <f t="shared" si="151"/>
        <v>-1.2591099153125482</v>
      </c>
      <c r="AX232">
        <f t="shared" si="152"/>
        <v>-1.2321866494443066</v>
      </c>
      <c r="AY232">
        <f t="shared" si="153"/>
        <v>-0.82031664893582934</v>
      </c>
      <c r="AZ232">
        <f t="shared" si="154"/>
        <v>-0.98198283039350276</v>
      </c>
      <c r="BA232">
        <f t="shared" si="155"/>
        <v>-0.49249136584570102</v>
      </c>
      <c r="BB232">
        <f t="shared" si="156"/>
        <v>-0.78351996011849823</v>
      </c>
      <c r="BC232">
        <f t="shared" si="157"/>
        <v>-0.99100632971014291</v>
      </c>
      <c r="BD232" t="str">
        <f t="shared" si="158"/>
        <v>C01933</v>
      </c>
    </row>
    <row r="233" spans="1:56" x14ac:dyDescent="0.2">
      <c r="A233" t="s">
        <v>296</v>
      </c>
      <c r="B233">
        <v>2993541.25</v>
      </c>
      <c r="C233">
        <v>2637201.75</v>
      </c>
      <c r="D233">
        <v>3454734.75</v>
      </c>
      <c r="E233">
        <v>1469442.875</v>
      </c>
      <c r="F233">
        <v>2277142</v>
      </c>
      <c r="G233">
        <v>1612546.5</v>
      </c>
      <c r="H233">
        <v>1969864.5</v>
      </c>
      <c r="I233">
        <v>1958425.25</v>
      </c>
      <c r="J233">
        <v>3382867.5</v>
      </c>
      <c r="K233">
        <v>2916793.75</v>
      </c>
      <c r="L233">
        <v>2338500</v>
      </c>
      <c r="M233">
        <v>3097225.25</v>
      </c>
      <c r="N233">
        <v>3101448.5</v>
      </c>
      <c r="O233">
        <v>6443802.5</v>
      </c>
      <c r="P233">
        <v>5570675</v>
      </c>
      <c r="Q233">
        <v>6642339.5</v>
      </c>
      <c r="R233" s="2" t="s">
        <v>404</v>
      </c>
      <c r="S233" s="4" t="s">
        <v>422</v>
      </c>
      <c r="T233">
        <f t="shared" si="123"/>
        <v>6.4761852469560477</v>
      </c>
      <c r="U233">
        <f t="shared" si="124"/>
        <v>6.4211433552618251</v>
      </c>
      <c r="V233">
        <f t="shared" si="125"/>
        <v>6.5384147084298894</v>
      </c>
      <c r="W233">
        <f t="shared" si="126"/>
        <v>6.1671527074181567</v>
      </c>
      <c r="X233">
        <f t="shared" si="127"/>
        <v>6.3573901135723494</v>
      </c>
      <c r="Y233">
        <f t="shared" si="128"/>
        <v>6.2075122469676058</v>
      </c>
      <c r="Z233">
        <f t="shared" si="129"/>
        <v>6.2944363536102292</v>
      </c>
      <c r="AA233">
        <f t="shared" si="130"/>
        <v>6.2919069998654749</v>
      </c>
      <c r="AB233">
        <f t="shared" si="131"/>
        <v>6.5292849876946377</v>
      </c>
      <c r="AC233">
        <f t="shared" si="132"/>
        <v>6.4649057207214122</v>
      </c>
      <c r="AD233">
        <f t="shared" si="133"/>
        <v>6.3689373742445232</v>
      </c>
      <c r="AE233">
        <f t="shared" si="134"/>
        <v>6.4909727911736219</v>
      </c>
      <c r="AF233">
        <f t="shared" si="135"/>
        <v>6.4915645740383017</v>
      </c>
      <c r="AG233">
        <f t="shared" si="136"/>
        <v>6.8091422209969288</v>
      </c>
      <c r="AH233">
        <f t="shared" si="137"/>
        <v>6.7459078219267115</v>
      </c>
      <c r="AI233">
        <f t="shared" si="138"/>
        <v>6.8223210692762972</v>
      </c>
      <c r="AJ233" t="str">
        <f t="shared" si="139"/>
        <v>C01718</v>
      </c>
      <c r="AL233">
        <f t="shared" si="140"/>
        <v>6.4673236432596255</v>
      </c>
      <c r="AM233">
        <f t="shared" si="141"/>
        <v>0.19540728545956296</v>
      </c>
      <c r="AN233">
        <f t="shared" si="142"/>
        <v>4.5349402790081692E-2</v>
      </c>
      <c r="AO233">
        <f t="shared" si="143"/>
        <v>-0.23632838401696546</v>
      </c>
      <c r="AP233">
        <f t="shared" si="144"/>
        <v>0.36380969626117271</v>
      </c>
      <c r="AQ233">
        <f t="shared" si="145"/>
        <v>-1.5361297053767493</v>
      </c>
      <c r="AR233">
        <f t="shared" si="146"/>
        <v>-0.56258664782498824</v>
      </c>
      <c r="AS233">
        <f t="shared" si="147"/>
        <v>-1.3295890973613893</v>
      </c>
      <c r="AT233">
        <f t="shared" si="148"/>
        <v>-0.88475355073274931</v>
      </c>
      <c r="AU233">
        <f t="shared" si="149"/>
        <v>-0.89769756015801605</v>
      </c>
      <c r="AV233">
        <f t="shared" si="150"/>
        <v>0.31708820011132249</v>
      </c>
      <c r="AW233">
        <f t="shared" si="151"/>
        <v>-1.2373758391488564E-2</v>
      </c>
      <c r="AX233">
        <f t="shared" si="152"/>
        <v>-0.50349335125205485</v>
      </c>
      <c r="AY233">
        <f t="shared" si="153"/>
        <v>0.12102490374592663</v>
      </c>
      <c r="AZ233">
        <f t="shared" si="154"/>
        <v>0.12405336229744886</v>
      </c>
      <c r="BA233">
        <f t="shared" si="155"/>
        <v>1.7492621983535934</v>
      </c>
      <c r="BB233">
        <f t="shared" si="156"/>
        <v>1.4256591201904567</v>
      </c>
      <c r="BC233">
        <f t="shared" si="157"/>
        <v>1.8167051713644213</v>
      </c>
      <c r="BD233" t="str">
        <f t="shared" si="158"/>
        <v>C01718</v>
      </c>
    </row>
    <row r="234" spans="1:56" x14ac:dyDescent="0.2">
      <c r="A234" t="s">
        <v>143</v>
      </c>
      <c r="B234">
        <v>507049184</v>
      </c>
      <c r="C234">
        <v>317160192</v>
      </c>
      <c r="D234">
        <v>577680832</v>
      </c>
      <c r="E234">
        <v>327799872</v>
      </c>
      <c r="F234">
        <v>370261376</v>
      </c>
      <c r="G234">
        <v>268378944</v>
      </c>
      <c r="H234">
        <v>319939456</v>
      </c>
      <c r="I234">
        <v>330270880</v>
      </c>
      <c r="J234">
        <v>164673440</v>
      </c>
      <c r="K234">
        <v>109914400</v>
      </c>
      <c r="L234">
        <v>115091760</v>
      </c>
      <c r="M234">
        <v>138188080</v>
      </c>
      <c r="N234">
        <v>155863792</v>
      </c>
      <c r="O234">
        <v>204635696</v>
      </c>
      <c r="P234">
        <v>167329520</v>
      </c>
      <c r="Q234">
        <v>143615856</v>
      </c>
      <c r="R234" s="2" t="s">
        <v>144</v>
      </c>
      <c r="S234" s="4" t="s">
        <v>422</v>
      </c>
      <c r="T234">
        <f t="shared" si="123"/>
        <v>8.7050500881376411</v>
      </c>
      <c r="U234">
        <f t="shared" si="124"/>
        <v>8.5012786720892706</v>
      </c>
      <c r="V234">
        <f t="shared" si="125"/>
        <v>8.7616879574760915</v>
      </c>
      <c r="W234">
        <f t="shared" si="126"/>
        <v>8.5156087796502682</v>
      </c>
      <c r="X234">
        <f t="shared" si="127"/>
        <v>8.568508410766853</v>
      </c>
      <c r="Y234">
        <f t="shared" si="128"/>
        <v>8.4287484397260037</v>
      </c>
      <c r="Z234">
        <f t="shared" si="129"/>
        <v>8.5050678020298083</v>
      </c>
      <c r="AA234">
        <f t="shared" si="130"/>
        <v>8.5188702836132286</v>
      </c>
      <c r="AB234">
        <f t="shared" si="131"/>
        <v>8.2166235579334952</v>
      </c>
      <c r="AC234">
        <f t="shared" si="132"/>
        <v>8.0410545935232207</v>
      </c>
      <c r="AD234">
        <f t="shared" si="133"/>
        <v>8.0610442314088324</v>
      </c>
      <c r="AE234">
        <f t="shared" si="134"/>
        <v>8.1404705827379562</v>
      </c>
      <c r="AF234">
        <f t="shared" si="135"/>
        <v>8.1927452379537371</v>
      </c>
      <c r="AG234">
        <f t="shared" si="136"/>
        <v>8.3109813929325309</v>
      </c>
      <c r="AH234">
        <f t="shared" si="137"/>
        <v>8.2235725652431153</v>
      </c>
      <c r="AI234">
        <f t="shared" si="138"/>
        <v>8.1572023911120954</v>
      </c>
      <c r="AJ234" t="str">
        <f t="shared" si="139"/>
        <v>C00407</v>
      </c>
      <c r="AL234">
        <f t="shared" si="140"/>
        <v>8.3655321866458845</v>
      </c>
      <c r="AM234">
        <f t="shared" si="141"/>
        <v>0.22635523402509128</v>
      </c>
      <c r="AN234">
        <f t="shared" si="142"/>
        <v>1.4999339553779498</v>
      </c>
      <c r="AO234">
        <f t="shared" si="143"/>
        <v>0.59970552935541444</v>
      </c>
      <c r="AP234">
        <f t="shared" si="144"/>
        <v>1.7501506980231503</v>
      </c>
      <c r="AQ234">
        <f t="shared" si="145"/>
        <v>0.66301357532447358</v>
      </c>
      <c r="AR234">
        <f t="shared" si="146"/>
        <v>0.89671539955850443</v>
      </c>
      <c r="AS234">
        <f t="shared" si="147"/>
        <v>0.27927895439392303</v>
      </c>
      <c r="AT234">
        <f t="shared" si="148"/>
        <v>0.61644527896561196</v>
      </c>
      <c r="AU234">
        <f t="shared" si="149"/>
        <v>0.67742236059956418</v>
      </c>
      <c r="AV234">
        <f t="shared" si="150"/>
        <v>-0.65785370218513661</v>
      </c>
      <c r="AW234">
        <f t="shared" si="151"/>
        <v>-1.4334883596581456</v>
      </c>
      <c r="AX234">
        <f t="shared" si="152"/>
        <v>-1.3451774444203921</v>
      </c>
      <c r="AY234">
        <f t="shared" si="153"/>
        <v>-0.99428495602173883</v>
      </c>
      <c r="AZ234">
        <f t="shared" si="154"/>
        <v>-0.76334417198850413</v>
      </c>
      <c r="BA234">
        <f t="shared" si="155"/>
        <v>-0.24099638759537886</v>
      </c>
      <c r="BB234">
        <f t="shared" si="156"/>
        <v>-0.62715413678940191</v>
      </c>
      <c r="BC234">
        <f t="shared" si="157"/>
        <v>-0.92036659293990908</v>
      </c>
      <c r="BD234" t="str">
        <f t="shared" si="158"/>
        <v>C00407</v>
      </c>
    </row>
    <row r="235" spans="1:56" x14ac:dyDescent="0.2">
      <c r="A235" t="s">
        <v>147</v>
      </c>
      <c r="R235" s="2" t="s">
        <v>148</v>
      </c>
      <c r="S235" s="4" t="s">
        <v>422</v>
      </c>
      <c r="T235" t="e">
        <f t="shared" si="123"/>
        <v>#NUM!</v>
      </c>
      <c r="U235" t="e">
        <f t="shared" si="124"/>
        <v>#NUM!</v>
      </c>
      <c r="V235" t="e">
        <f t="shared" si="125"/>
        <v>#NUM!</v>
      </c>
      <c r="W235" t="e">
        <f t="shared" si="126"/>
        <v>#NUM!</v>
      </c>
      <c r="X235" t="e">
        <f t="shared" si="127"/>
        <v>#NUM!</v>
      </c>
      <c r="Y235" t="e">
        <f t="shared" si="128"/>
        <v>#NUM!</v>
      </c>
      <c r="Z235" t="e">
        <f t="shared" si="129"/>
        <v>#NUM!</v>
      </c>
      <c r="AA235" t="e">
        <f t="shared" si="130"/>
        <v>#NUM!</v>
      </c>
      <c r="AB235" t="e">
        <f t="shared" si="131"/>
        <v>#NUM!</v>
      </c>
      <c r="AC235" t="e">
        <f t="shared" si="132"/>
        <v>#NUM!</v>
      </c>
      <c r="AD235" t="e">
        <f t="shared" si="133"/>
        <v>#NUM!</v>
      </c>
      <c r="AE235" t="e">
        <f t="shared" si="134"/>
        <v>#NUM!</v>
      </c>
      <c r="AF235" t="e">
        <f t="shared" si="135"/>
        <v>#NUM!</v>
      </c>
      <c r="AG235" t="e">
        <f t="shared" si="136"/>
        <v>#NUM!</v>
      </c>
      <c r="AH235" t="e">
        <f t="shared" si="137"/>
        <v>#NUM!</v>
      </c>
      <c r="AI235" t="e">
        <f t="shared" si="138"/>
        <v>#NUM!</v>
      </c>
      <c r="AJ235" t="str">
        <f t="shared" si="139"/>
        <v>C01921</v>
      </c>
      <c r="AL235" t="e">
        <f t="shared" si="140"/>
        <v>#NUM!</v>
      </c>
      <c r="AM235" t="e">
        <f t="shared" si="141"/>
        <v>#NUM!</v>
      </c>
      <c r="AN235" t="e">
        <f t="shared" si="142"/>
        <v>#NUM!</v>
      </c>
      <c r="AO235" t="e">
        <f t="shared" si="143"/>
        <v>#NUM!</v>
      </c>
      <c r="AP235" t="e">
        <f t="shared" si="144"/>
        <v>#NUM!</v>
      </c>
      <c r="AQ235" t="e">
        <f t="shared" si="145"/>
        <v>#NUM!</v>
      </c>
      <c r="AR235" t="e">
        <f t="shared" si="146"/>
        <v>#NUM!</v>
      </c>
      <c r="AS235" t="e">
        <f t="shared" si="147"/>
        <v>#NUM!</v>
      </c>
      <c r="AT235" t="e">
        <f t="shared" si="148"/>
        <v>#NUM!</v>
      </c>
      <c r="AU235" t="e">
        <f t="shared" si="149"/>
        <v>#NUM!</v>
      </c>
      <c r="AV235" t="e">
        <f t="shared" si="150"/>
        <v>#NUM!</v>
      </c>
      <c r="AW235" t="e">
        <f t="shared" si="151"/>
        <v>#NUM!</v>
      </c>
      <c r="AX235" t="e">
        <f t="shared" si="152"/>
        <v>#NUM!</v>
      </c>
      <c r="AY235" t="e">
        <f t="shared" si="153"/>
        <v>#NUM!</v>
      </c>
      <c r="AZ235" t="e">
        <f t="shared" si="154"/>
        <v>#NUM!</v>
      </c>
      <c r="BA235" t="e">
        <f t="shared" si="155"/>
        <v>#NUM!</v>
      </c>
      <c r="BB235" t="e">
        <f t="shared" si="156"/>
        <v>#NUM!</v>
      </c>
      <c r="BC235" t="e">
        <f t="shared" si="157"/>
        <v>#NUM!</v>
      </c>
      <c r="BD235" t="str">
        <f t="shared" si="158"/>
        <v>C01921</v>
      </c>
    </row>
    <row r="236" spans="1:56" x14ac:dyDescent="0.2">
      <c r="A236" t="s">
        <v>147</v>
      </c>
      <c r="R236" s="2" t="s">
        <v>148</v>
      </c>
      <c r="S236" s="4" t="s">
        <v>422</v>
      </c>
      <c r="T236" t="e">
        <f t="shared" si="123"/>
        <v>#NUM!</v>
      </c>
      <c r="U236" t="e">
        <f t="shared" si="124"/>
        <v>#NUM!</v>
      </c>
      <c r="V236" t="e">
        <f t="shared" si="125"/>
        <v>#NUM!</v>
      </c>
      <c r="W236" t="e">
        <f t="shared" si="126"/>
        <v>#NUM!</v>
      </c>
      <c r="X236" t="e">
        <f t="shared" si="127"/>
        <v>#NUM!</v>
      </c>
      <c r="Y236" t="e">
        <f t="shared" si="128"/>
        <v>#NUM!</v>
      </c>
      <c r="Z236" t="e">
        <f t="shared" si="129"/>
        <v>#NUM!</v>
      </c>
      <c r="AA236" t="e">
        <f t="shared" si="130"/>
        <v>#NUM!</v>
      </c>
      <c r="AB236" t="e">
        <f t="shared" si="131"/>
        <v>#NUM!</v>
      </c>
      <c r="AC236" t="e">
        <f t="shared" si="132"/>
        <v>#NUM!</v>
      </c>
      <c r="AD236" t="e">
        <f t="shared" si="133"/>
        <v>#NUM!</v>
      </c>
      <c r="AE236" t="e">
        <f t="shared" si="134"/>
        <v>#NUM!</v>
      </c>
      <c r="AF236" t="e">
        <f t="shared" si="135"/>
        <v>#NUM!</v>
      </c>
      <c r="AG236" t="e">
        <f t="shared" si="136"/>
        <v>#NUM!</v>
      </c>
      <c r="AH236" t="e">
        <f t="shared" si="137"/>
        <v>#NUM!</v>
      </c>
      <c r="AI236" t="e">
        <f t="shared" si="138"/>
        <v>#NUM!</v>
      </c>
      <c r="AJ236" t="str">
        <f t="shared" si="139"/>
        <v>C01921</v>
      </c>
      <c r="AL236" t="e">
        <f t="shared" si="140"/>
        <v>#NUM!</v>
      </c>
      <c r="AM236" t="e">
        <f t="shared" si="141"/>
        <v>#NUM!</v>
      </c>
      <c r="AN236" t="e">
        <f t="shared" si="142"/>
        <v>#NUM!</v>
      </c>
      <c r="AO236" t="e">
        <f t="shared" si="143"/>
        <v>#NUM!</v>
      </c>
      <c r="AP236" t="e">
        <f t="shared" si="144"/>
        <v>#NUM!</v>
      </c>
      <c r="AQ236" t="e">
        <f t="shared" si="145"/>
        <v>#NUM!</v>
      </c>
      <c r="AR236" t="e">
        <f t="shared" si="146"/>
        <v>#NUM!</v>
      </c>
      <c r="AS236" t="e">
        <f t="shared" si="147"/>
        <v>#NUM!</v>
      </c>
      <c r="AT236" t="e">
        <f t="shared" si="148"/>
        <v>#NUM!</v>
      </c>
      <c r="AU236" t="e">
        <f t="shared" si="149"/>
        <v>#NUM!</v>
      </c>
      <c r="AV236" t="e">
        <f t="shared" si="150"/>
        <v>#NUM!</v>
      </c>
      <c r="AW236" t="e">
        <f t="shared" si="151"/>
        <v>#NUM!</v>
      </c>
      <c r="AX236" t="e">
        <f t="shared" si="152"/>
        <v>#NUM!</v>
      </c>
      <c r="AY236" t="e">
        <f t="shared" si="153"/>
        <v>#NUM!</v>
      </c>
      <c r="AZ236" t="e">
        <f t="shared" si="154"/>
        <v>#NUM!</v>
      </c>
      <c r="BA236" t="e">
        <f t="shared" si="155"/>
        <v>#NUM!</v>
      </c>
      <c r="BB236" t="e">
        <f t="shared" si="156"/>
        <v>#NUM!</v>
      </c>
      <c r="BC236" t="e">
        <f t="shared" si="157"/>
        <v>#NUM!</v>
      </c>
      <c r="BD236" t="str">
        <f t="shared" si="158"/>
        <v>C01921</v>
      </c>
    </row>
    <row r="237" spans="1:56" x14ac:dyDescent="0.2">
      <c r="A237" t="s">
        <v>297</v>
      </c>
      <c r="B237">
        <v>4005910.5</v>
      </c>
      <c r="C237">
        <v>2272383</v>
      </c>
      <c r="D237">
        <v>7404220.5</v>
      </c>
      <c r="E237">
        <v>1456527.375</v>
      </c>
      <c r="F237">
        <v>906487.1875</v>
      </c>
      <c r="G237">
        <v>823263.6875</v>
      </c>
      <c r="H237">
        <v>1070427.25</v>
      </c>
      <c r="I237">
        <v>1454324.125</v>
      </c>
      <c r="J237">
        <v>885496.0625</v>
      </c>
      <c r="K237">
        <v>677736.8125</v>
      </c>
      <c r="L237">
        <v>658295.125</v>
      </c>
      <c r="M237">
        <v>865056.1875</v>
      </c>
      <c r="N237">
        <v>463271.3125</v>
      </c>
      <c r="O237">
        <v>412443.65620000003</v>
      </c>
      <c r="P237">
        <v>513766.96879999997</v>
      </c>
      <c r="Q237">
        <v>481007.5</v>
      </c>
      <c r="R237" s="2" t="s">
        <v>298</v>
      </c>
      <c r="S237" s="4" t="s">
        <v>422</v>
      </c>
      <c r="T237">
        <f t="shared" si="123"/>
        <v>6.6027012420643132</v>
      </c>
      <c r="U237">
        <f t="shared" si="124"/>
        <v>6.3564815316024887</v>
      </c>
      <c r="V237">
        <f t="shared" si="125"/>
        <v>6.8694793436988206</v>
      </c>
      <c r="W237">
        <f t="shared" si="126"/>
        <v>6.1633186514763656</v>
      </c>
      <c r="X237">
        <f t="shared" si="127"/>
        <v>5.9573616700560468</v>
      </c>
      <c r="Y237">
        <f t="shared" si="128"/>
        <v>5.9155389599807329</v>
      </c>
      <c r="Z237">
        <f t="shared" si="129"/>
        <v>6.0295571564532642</v>
      </c>
      <c r="AA237">
        <f t="shared" si="130"/>
        <v>6.1626612084566963</v>
      </c>
      <c r="AB237">
        <f t="shared" si="131"/>
        <v>5.947186634370448</v>
      </c>
      <c r="AC237">
        <f t="shared" si="132"/>
        <v>5.8310610757704859</v>
      </c>
      <c r="AD237">
        <f t="shared" si="133"/>
        <v>5.8184206389392026</v>
      </c>
      <c r="AE237">
        <f t="shared" si="134"/>
        <v>5.9370443168621581</v>
      </c>
      <c r="AF237">
        <f t="shared" si="135"/>
        <v>5.665835407889988</v>
      </c>
      <c r="AG237">
        <f t="shared" si="136"/>
        <v>5.6153646281034968</v>
      </c>
      <c r="AH237">
        <f t="shared" si="137"/>
        <v>5.7107661790875381</v>
      </c>
      <c r="AI237">
        <f t="shared" si="138"/>
        <v>5.6821518480645192</v>
      </c>
      <c r="AJ237" t="str">
        <f t="shared" si="139"/>
        <v>C00534</v>
      </c>
      <c r="AL237">
        <f t="shared" si="140"/>
        <v>6.0165581558047849</v>
      </c>
      <c r="AM237">
        <f t="shared" si="141"/>
        <v>0.34808528627428326</v>
      </c>
      <c r="AN237">
        <f t="shared" si="142"/>
        <v>1.6839065291534929</v>
      </c>
      <c r="AO237">
        <f t="shared" si="143"/>
        <v>0.97655198079775185</v>
      </c>
      <c r="AP237">
        <f t="shared" si="144"/>
        <v>2.4503224397194234</v>
      </c>
      <c r="AQ237">
        <f t="shared" si="145"/>
        <v>0.4216222329947516</v>
      </c>
      <c r="AR237">
        <f t="shared" si="146"/>
        <v>-0.17006316579004338</v>
      </c>
      <c r="AS237">
        <f t="shared" si="147"/>
        <v>-0.29021392114934508</v>
      </c>
      <c r="AT237">
        <f t="shared" si="148"/>
        <v>3.7344297966781445E-2</v>
      </c>
      <c r="AU237">
        <f t="shared" si="149"/>
        <v>0.41973349179943648</v>
      </c>
      <c r="AV237">
        <f t="shared" si="150"/>
        <v>-0.1992946101711226</v>
      </c>
      <c r="AW237">
        <f t="shared" si="151"/>
        <v>-0.53290698385950019</v>
      </c>
      <c r="AX237">
        <f t="shared" si="152"/>
        <v>-0.56922117848283449</v>
      </c>
      <c r="AY237">
        <f t="shared" si="153"/>
        <v>-0.22843205983711642</v>
      </c>
      <c r="AZ237">
        <f t="shared" si="154"/>
        <v>-1.0075770558093498</v>
      </c>
      <c r="BA237">
        <f t="shared" si="155"/>
        <v>-1.152572497376855</v>
      </c>
      <c r="BB237">
        <f t="shared" si="156"/>
        <v>-0.87849727861317783</v>
      </c>
      <c r="BC237">
        <f t="shared" si="157"/>
        <v>-0.96070222134227523</v>
      </c>
      <c r="BD237" t="str">
        <f t="shared" si="158"/>
        <v>C00534</v>
      </c>
    </row>
    <row r="238" spans="1:56" x14ac:dyDescent="0.2">
      <c r="A238" t="s">
        <v>149</v>
      </c>
      <c r="B238">
        <v>81378472</v>
      </c>
      <c r="C238">
        <v>102592560</v>
      </c>
      <c r="D238">
        <v>136043664</v>
      </c>
      <c r="E238">
        <v>93056904</v>
      </c>
      <c r="F238">
        <v>41838928</v>
      </c>
      <c r="G238">
        <v>70876368</v>
      </c>
      <c r="H238">
        <v>82218520</v>
      </c>
      <c r="I238">
        <v>90717840</v>
      </c>
      <c r="J238">
        <v>16486711</v>
      </c>
      <c r="K238">
        <v>20369806</v>
      </c>
      <c r="L238">
        <v>16727606</v>
      </c>
      <c r="M238">
        <v>25494624</v>
      </c>
      <c r="N238">
        <v>19346264</v>
      </c>
      <c r="O238">
        <v>25443342</v>
      </c>
      <c r="P238">
        <v>26642370</v>
      </c>
      <c r="Q238">
        <v>11105658</v>
      </c>
      <c r="R238" s="2" t="s">
        <v>150</v>
      </c>
      <c r="S238" s="4" t="s">
        <v>422</v>
      </c>
      <c r="T238">
        <f t="shared" si="123"/>
        <v>7.9105095310788496</v>
      </c>
      <c r="U238">
        <f t="shared" si="124"/>
        <v>8.0111158669346292</v>
      </c>
      <c r="V238">
        <f t="shared" si="125"/>
        <v>8.1336783200671618</v>
      </c>
      <c r="W238">
        <f t="shared" si="126"/>
        <v>7.9687485994751048</v>
      </c>
      <c r="X238">
        <f t="shared" si="127"/>
        <v>7.6215805484775521</v>
      </c>
      <c r="Y238">
        <f t="shared" si="128"/>
        <v>7.8505014543929228</v>
      </c>
      <c r="Z238">
        <f t="shared" si="129"/>
        <v>7.9149696548620119</v>
      </c>
      <c r="AA238">
        <f t="shared" si="130"/>
        <v>7.9576927010809229</v>
      </c>
      <c r="AB238">
        <f t="shared" si="131"/>
        <v>7.2171340251399956</v>
      </c>
      <c r="AC238">
        <f t="shared" si="132"/>
        <v>7.3089868928425448</v>
      </c>
      <c r="AD238">
        <f t="shared" si="133"/>
        <v>7.2234337906106063</v>
      </c>
      <c r="AE238">
        <f t="shared" si="134"/>
        <v>7.406448611285672</v>
      </c>
      <c r="AF238">
        <f t="shared" si="135"/>
        <v>7.2865971098800504</v>
      </c>
      <c r="AG238">
        <f t="shared" si="136"/>
        <v>7.4055741555940005</v>
      </c>
      <c r="AH238">
        <f t="shared" si="137"/>
        <v>7.4255728553383724</v>
      </c>
      <c r="AI238">
        <f t="shared" si="138"/>
        <v>7.0455442951945555</v>
      </c>
      <c r="AJ238" t="str">
        <f t="shared" si="139"/>
        <v>C00078</v>
      </c>
      <c r="AL238">
        <f t="shared" si="140"/>
        <v>7.6055055257659339</v>
      </c>
      <c r="AM238">
        <f t="shared" si="141"/>
        <v>0.35218462513461735</v>
      </c>
      <c r="AN238">
        <f t="shared" si="142"/>
        <v>0.86603441361567801</v>
      </c>
      <c r="AO238">
        <f t="shared" si="143"/>
        <v>1.151698036260546</v>
      </c>
      <c r="AP238">
        <f t="shared" si="144"/>
        <v>1.4997042931653868</v>
      </c>
      <c r="AQ238">
        <f t="shared" si="145"/>
        <v>1.0313995779069762</v>
      </c>
      <c r="AR238">
        <f t="shared" si="146"/>
        <v>4.5643737870367747E-2</v>
      </c>
      <c r="AS238">
        <f t="shared" si="147"/>
        <v>0.6956462921495874</v>
      </c>
      <c r="AT238">
        <f t="shared" si="148"/>
        <v>0.87869857742310564</v>
      </c>
      <c r="AU238">
        <f t="shared" si="149"/>
        <v>1.0000072410326564</v>
      </c>
      <c r="AV238">
        <f t="shared" si="150"/>
        <v>-1.1027497309897871</v>
      </c>
      <c r="AW238">
        <f t="shared" si="151"/>
        <v>-0.84194087919099037</v>
      </c>
      <c r="AX238">
        <f t="shared" si="152"/>
        <v>-1.0848620521389494</v>
      </c>
      <c r="AY238">
        <f t="shared" si="153"/>
        <v>-0.56520614551011505</v>
      </c>
      <c r="AZ238">
        <f t="shared" si="154"/>
        <v>-0.90551487238826922</v>
      </c>
      <c r="BA238">
        <f t="shared" si="155"/>
        <v>-0.56768909232057652</v>
      </c>
      <c r="BB238">
        <f t="shared" si="156"/>
        <v>-0.51090438817079209</v>
      </c>
      <c r="BC238">
        <f t="shared" si="157"/>
        <v>-1.5899650087147941</v>
      </c>
      <c r="BD238" t="str">
        <f t="shared" si="158"/>
        <v>C00078</v>
      </c>
    </row>
    <row r="239" spans="1:56" x14ac:dyDescent="0.2">
      <c r="A239" t="s">
        <v>299</v>
      </c>
      <c r="B239">
        <v>97988.625</v>
      </c>
      <c r="C239">
        <v>104594.49219999999</v>
      </c>
      <c r="D239">
        <v>93257.9375</v>
      </c>
      <c r="E239">
        <v>92495.140620000006</v>
      </c>
      <c r="F239">
        <v>109815.60159999999</v>
      </c>
      <c r="G239">
        <v>96024.65625</v>
      </c>
      <c r="H239">
        <v>84172.414059999996</v>
      </c>
      <c r="I239">
        <v>92693.179690000004</v>
      </c>
      <c r="J239">
        <v>177591.54689999999</v>
      </c>
      <c r="K239">
        <v>133673.60939999999</v>
      </c>
      <c r="L239">
        <v>144035.8125</v>
      </c>
      <c r="M239">
        <v>167486.42189999999</v>
      </c>
      <c r="N239">
        <v>183448.98439999999</v>
      </c>
      <c r="O239">
        <v>159115.75</v>
      </c>
      <c r="P239">
        <v>188782.9688</v>
      </c>
      <c r="Q239">
        <v>208610.125</v>
      </c>
      <c r="R239" s="2" t="s">
        <v>300</v>
      </c>
      <c r="S239" s="4" t="s">
        <v>422</v>
      </c>
      <c r="T239">
        <f t="shared" si="123"/>
        <v>4.9911756635858007</v>
      </c>
      <c r="U239">
        <f t="shared" si="124"/>
        <v>5.0195088157919994</v>
      </c>
      <c r="V239">
        <f t="shared" si="125"/>
        <v>4.9696858063332074</v>
      </c>
      <c r="W239">
        <f t="shared" si="126"/>
        <v>4.9661189169838416</v>
      </c>
      <c r="X239">
        <f t="shared" si="127"/>
        <v>5.0406640450999749</v>
      </c>
      <c r="Y239">
        <f t="shared" si="128"/>
        <v>4.9823827611483793</v>
      </c>
      <c r="Z239">
        <f t="shared" si="129"/>
        <v>4.9251697828953072</v>
      </c>
      <c r="AA239">
        <f t="shared" si="130"/>
        <v>4.9670477801858439</v>
      </c>
      <c r="AB239">
        <f t="shared" si="131"/>
        <v>5.2494222901472334</v>
      </c>
      <c r="AC239">
        <f t="shared" si="132"/>
        <v>5.1260456748516914</v>
      </c>
      <c r="AD239">
        <f t="shared" si="133"/>
        <v>5.1584704867996463</v>
      </c>
      <c r="AE239">
        <f t="shared" si="134"/>
        <v>5.223979604609112</v>
      </c>
      <c r="AF239">
        <f t="shared" si="135"/>
        <v>5.2635153117818181</v>
      </c>
      <c r="AG239">
        <f t="shared" si="136"/>
        <v>5.2017131702156876</v>
      </c>
      <c r="AH239">
        <f t="shared" si="137"/>
        <v>5.2759628115202428</v>
      </c>
      <c r="AI239">
        <f t="shared" si="138"/>
        <v>5.3193353833087125</v>
      </c>
      <c r="AJ239" t="str">
        <f t="shared" si="139"/>
        <v>C02714</v>
      </c>
      <c r="AL239">
        <f t="shared" si="140"/>
        <v>5.1050123940786563</v>
      </c>
      <c r="AM239">
        <f t="shared" si="141"/>
        <v>0.1357377050578141</v>
      </c>
      <c r="AN239">
        <f t="shared" si="142"/>
        <v>-0.83865224069001065</v>
      </c>
      <c r="AO239">
        <f t="shared" si="143"/>
        <v>-0.62991766547282324</v>
      </c>
      <c r="AP239">
        <f t="shared" si="144"/>
        <v>-0.99697123719463077</v>
      </c>
      <c r="AQ239">
        <f t="shared" si="145"/>
        <v>-1.0232490451761835</v>
      </c>
      <c r="AR239">
        <f t="shared" si="146"/>
        <v>-0.47406392314702667</v>
      </c>
      <c r="AS239">
        <f t="shared" si="147"/>
        <v>-0.90343086969126163</v>
      </c>
      <c r="AT239">
        <f t="shared" si="148"/>
        <v>-1.3249274481747693</v>
      </c>
      <c r="AU239">
        <f t="shared" si="149"/>
        <v>-1.0164059708689619</v>
      </c>
      <c r="AV239">
        <f t="shared" si="150"/>
        <v>1.0638893298444181</v>
      </c>
      <c r="AW239">
        <f t="shared" si="151"/>
        <v>0.15495532920699168</v>
      </c>
      <c r="AX239">
        <f t="shared" si="152"/>
        <v>0.3938337744712927</v>
      </c>
      <c r="AY239">
        <f t="shared" si="153"/>
        <v>0.87644925542084751</v>
      </c>
      <c r="AZ239">
        <f t="shared" si="154"/>
        <v>1.1677147306686189</v>
      </c>
      <c r="BA239">
        <f t="shared" si="155"/>
        <v>0.71240909882662318</v>
      </c>
      <c r="BB239">
        <f t="shared" si="156"/>
        <v>1.2594173252654779</v>
      </c>
      <c r="BC239">
        <f t="shared" si="157"/>
        <v>1.5789495567113845</v>
      </c>
      <c r="BD239" t="str">
        <f t="shared" si="158"/>
        <v>C02714</v>
      </c>
    </row>
    <row r="240" spans="1:56" x14ac:dyDescent="0.2">
      <c r="A240" t="s">
        <v>151</v>
      </c>
      <c r="B240">
        <v>115402880</v>
      </c>
      <c r="C240">
        <v>61993928</v>
      </c>
      <c r="D240">
        <v>156384528</v>
      </c>
      <c r="E240">
        <v>83736280</v>
      </c>
      <c r="F240">
        <v>91247384</v>
      </c>
      <c r="G240">
        <v>67223720</v>
      </c>
      <c r="H240">
        <v>84655080</v>
      </c>
      <c r="I240">
        <v>85565656</v>
      </c>
      <c r="J240">
        <v>36704336</v>
      </c>
      <c r="K240">
        <v>28097876</v>
      </c>
      <c r="L240">
        <v>26552384</v>
      </c>
      <c r="M240">
        <v>34573872</v>
      </c>
      <c r="N240">
        <v>31288374</v>
      </c>
      <c r="O240">
        <v>45629084</v>
      </c>
      <c r="P240">
        <v>35634316</v>
      </c>
      <c r="Q240">
        <v>27898770</v>
      </c>
      <c r="R240" s="2" t="s">
        <v>381</v>
      </c>
      <c r="S240" s="4" t="s">
        <v>422</v>
      </c>
      <c r="T240">
        <f t="shared" si="123"/>
        <v>8.0622166472295973</v>
      </c>
      <c r="U240">
        <f t="shared" si="124"/>
        <v>7.7923491545751533</v>
      </c>
      <c r="V240">
        <f t="shared" si="125"/>
        <v>8.1941937836560079</v>
      </c>
      <c r="W240">
        <f t="shared" si="126"/>
        <v>7.9229136633696582</v>
      </c>
      <c r="X240">
        <f t="shared" si="127"/>
        <v>7.9602204223816599</v>
      </c>
      <c r="Y240">
        <f t="shared" si="128"/>
        <v>7.8275225416171068</v>
      </c>
      <c r="Z240">
        <f t="shared" si="129"/>
        <v>7.9276530244623338</v>
      </c>
      <c r="AA240">
        <f t="shared" si="130"/>
        <v>7.9322994842726002</v>
      </c>
      <c r="AB240">
        <f t="shared" si="131"/>
        <v>7.5647173718717298</v>
      </c>
      <c r="AC240">
        <f t="shared" si="132"/>
        <v>7.4486734915654464</v>
      </c>
      <c r="AD240">
        <f t="shared" si="133"/>
        <v>7.4241035202033174</v>
      </c>
      <c r="AE240">
        <f t="shared" si="134"/>
        <v>7.5387480198105044</v>
      </c>
      <c r="AF240">
        <f t="shared" si="135"/>
        <v>7.4953829942367571</v>
      </c>
      <c r="AG240">
        <f t="shared" si="136"/>
        <v>7.6592417504351982</v>
      </c>
      <c r="AH240">
        <f t="shared" si="137"/>
        <v>7.5518684269388769</v>
      </c>
      <c r="AI240">
        <f t="shared" si="138"/>
        <v>7.4455850565356743</v>
      </c>
      <c r="AJ240" t="str">
        <f t="shared" si="139"/>
        <v>C00073</v>
      </c>
      <c r="AL240">
        <f t="shared" si="140"/>
        <v>7.734230584572602</v>
      </c>
      <c r="AM240">
        <f t="shared" si="141"/>
        <v>0.24744722069017699</v>
      </c>
      <c r="AN240">
        <f t="shared" si="142"/>
        <v>1.3254788707756759</v>
      </c>
      <c r="AO240">
        <f t="shared" si="143"/>
        <v>0.2348725915791158</v>
      </c>
      <c r="AP240">
        <f t="shared" si="144"/>
        <v>1.8588335637817297</v>
      </c>
      <c r="AQ240">
        <f t="shared" si="145"/>
        <v>0.76251848079272599</v>
      </c>
      <c r="AR240">
        <f t="shared" si="146"/>
        <v>0.91328501156218123</v>
      </c>
      <c r="AS240">
        <f t="shared" si="147"/>
        <v>0.37701759908353749</v>
      </c>
      <c r="AT240">
        <f t="shared" si="148"/>
        <v>0.78167149887656873</v>
      </c>
      <c r="AU240">
        <f t="shared" si="149"/>
        <v>0.80044907818138611</v>
      </c>
      <c r="AV240">
        <f t="shared" si="150"/>
        <v>-0.68504795579464561</v>
      </c>
      <c r="AW240">
        <f t="shared" si="151"/>
        <v>-1.1540121251339295</v>
      </c>
      <c r="AX240">
        <f t="shared" si="152"/>
        <v>-1.2533059110717901</v>
      </c>
      <c r="AY240">
        <f t="shared" si="153"/>
        <v>-0.78999701114791232</v>
      </c>
      <c r="AZ240">
        <f t="shared" si="154"/>
        <v>-0.96524660761860204</v>
      </c>
      <c r="BA240">
        <f t="shared" si="155"/>
        <v>-0.30304981372692674</v>
      </c>
      <c r="BB240">
        <f t="shared" si="156"/>
        <v>-0.73697395802257393</v>
      </c>
      <c r="BC240">
        <f t="shared" si="157"/>
        <v>-1.1664933121165837</v>
      </c>
      <c r="BD240" t="str">
        <f t="shared" si="158"/>
        <v>C00073</v>
      </c>
    </row>
    <row r="241" spans="1:56" x14ac:dyDescent="0.2">
      <c r="A241" t="s">
        <v>152</v>
      </c>
      <c r="B241">
        <v>21220.466799999998</v>
      </c>
      <c r="C241">
        <v>10208.66797</v>
      </c>
      <c r="D241">
        <v>20262.640619999998</v>
      </c>
      <c r="E241">
        <v>17112.492190000001</v>
      </c>
      <c r="F241">
        <v>15938.68945</v>
      </c>
      <c r="G241">
        <v>19405.898440000001</v>
      </c>
      <c r="H241">
        <v>17986.636719999999</v>
      </c>
      <c r="I241">
        <v>24926.277340000001</v>
      </c>
      <c r="J241">
        <v>40948.257810000003</v>
      </c>
      <c r="K241">
        <v>21232.09375</v>
      </c>
      <c r="L241">
        <v>15292.962890000001</v>
      </c>
      <c r="M241">
        <v>25753.601559999999</v>
      </c>
      <c r="N241">
        <v>16914.324219999999</v>
      </c>
      <c r="O241">
        <v>11276.23926</v>
      </c>
      <c r="P241">
        <v>9265.8427730000003</v>
      </c>
      <c r="Q241">
        <v>10825.566409999999</v>
      </c>
      <c r="R241" s="2" t="s">
        <v>382</v>
      </c>
      <c r="S241" s="4" t="s">
        <v>422</v>
      </c>
      <c r="T241">
        <f t="shared" si="123"/>
        <v>4.3267549331201929</v>
      </c>
      <c r="U241">
        <f t="shared" si="124"/>
        <v>4.0089690789117807</v>
      </c>
      <c r="V241">
        <f t="shared" si="125"/>
        <v>4.3066960418123088</v>
      </c>
      <c r="W241">
        <f t="shared" si="126"/>
        <v>4.2333132629336792</v>
      </c>
      <c r="X241">
        <f t="shared" si="127"/>
        <v>4.2024526089024876</v>
      </c>
      <c r="Y241">
        <f t="shared" si="128"/>
        <v>4.2879337541876996</v>
      </c>
      <c r="Z241">
        <f t="shared" si="129"/>
        <v>4.2549499632066548</v>
      </c>
      <c r="AA241">
        <f t="shared" si="130"/>
        <v>4.3966574228512751</v>
      </c>
      <c r="AB241">
        <f t="shared" si="131"/>
        <v>4.6122354289389547</v>
      </c>
      <c r="AC241">
        <f t="shared" si="132"/>
        <v>4.326992823145539</v>
      </c>
      <c r="AD241">
        <f t="shared" si="133"/>
        <v>4.184491634667979</v>
      </c>
      <c r="AE241">
        <f t="shared" si="134"/>
        <v>4.4108379723387356</v>
      </c>
      <c r="AF241">
        <f t="shared" si="135"/>
        <v>4.2282546510517101</v>
      </c>
      <c r="AG241">
        <f t="shared" si="136"/>
        <v>4.0521642821867374</v>
      </c>
      <c r="AH241">
        <f t="shared" si="137"/>
        <v>3.9668849266249793</v>
      </c>
      <c r="AI241">
        <f t="shared" si="138"/>
        <v>4.0344506285637065</v>
      </c>
      <c r="AJ241" t="str">
        <f t="shared" si="139"/>
        <v>C02353</v>
      </c>
      <c r="AL241">
        <f t="shared" si="140"/>
        <v>4.239627463340276</v>
      </c>
      <c r="AM241">
        <f t="shared" si="141"/>
        <v>0.16823028155741351</v>
      </c>
      <c r="AN241">
        <f t="shared" si="142"/>
        <v>0.51790598561283463</v>
      </c>
      <c r="AO241">
        <f t="shared" si="143"/>
        <v>-1.3710871924670491</v>
      </c>
      <c r="AP241">
        <f t="shared" si="144"/>
        <v>0.39867126091175048</v>
      </c>
      <c r="AQ241">
        <f t="shared" si="145"/>
        <v>-3.7533078754563562E-2</v>
      </c>
      <c r="AR241">
        <f t="shared" si="146"/>
        <v>-0.22097599845662347</v>
      </c>
      <c r="AS241">
        <f t="shared" si="147"/>
        <v>0.28714385068028148</v>
      </c>
      <c r="AT241">
        <f t="shared" si="148"/>
        <v>9.108051014673918E-2</v>
      </c>
      <c r="AU241">
        <f t="shared" si="149"/>
        <v>0.93342267549738422</v>
      </c>
      <c r="AV241">
        <f t="shared" si="150"/>
        <v>2.214868584592574</v>
      </c>
      <c r="AW241">
        <f t="shared" si="151"/>
        <v>0.51932005936426529</v>
      </c>
      <c r="AX241">
        <f t="shared" si="152"/>
        <v>-0.32774021514955509</v>
      </c>
      <c r="AY241">
        <f t="shared" si="153"/>
        <v>1.0177151664578834</v>
      </c>
      <c r="AZ241">
        <f t="shared" si="154"/>
        <v>-6.7602646701180241E-2</v>
      </c>
      <c r="BA241">
        <f t="shared" si="155"/>
        <v>-1.1143248374672741</v>
      </c>
      <c r="BB241">
        <f t="shared" si="156"/>
        <v>-1.6212452014604475</v>
      </c>
      <c r="BC241">
        <f t="shared" si="157"/>
        <v>-1.2196189228069909</v>
      </c>
      <c r="BD241" t="str">
        <f t="shared" si="158"/>
        <v>C02353</v>
      </c>
    </row>
    <row r="242" spans="1:56" x14ac:dyDescent="0.2">
      <c r="A242" t="s">
        <v>301</v>
      </c>
      <c r="B242">
        <v>196998240</v>
      </c>
      <c r="C242">
        <v>133362824</v>
      </c>
      <c r="D242">
        <v>199594464</v>
      </c>
      <c r="E242">
        <v>120589136</v>
      </c>
      <c r="F242">
        <v>127738672</v>
      </c>
      <c r="G242">
        <v>92150168</v>
      </c>
      <c r="H242">
        <v>109100200</v>
      </c>
      <c r="I242">
        <v>110799944</v>
      </c>
      <c r="J242">
        <v>58537808</v>
      </c>
      <c r="K242">
        <v>36827888</v>
      </c>
      <c r="L242">
        <v>38998272</v>
      </c>
      <c r="M242">
        <v>51764852</v>
      </c>
      <c r="N242">
        <v>56657740</v>
      </c>
      <c r="O242">
        <v>71206960</v>
      </c>
      <c r="P242">
        <v>64324972</v>
      </c>
      <c r="Q242">
        <v>59980220</v>
      </c>
      <c r="R242" s="2" t="s">
        <v>405</v>
      </c>
      <c r="S242" s="4" t="s">
        <v>422</v>
      </c>
      <c r="T242">
        <f t="shared" si="123"/>
        <v>8.294462346152951</v>
      </c>
      <c r="U242">
        <f t="shared" si="124"/>
        <v>8.1250347832404017</v>
      </c>
      <c r="V242">
        <f t="shared" si="125"/>
        <v>8.3001484914223251</v>
      </c>
      <c r="W242">
        <f t="shared" si="126"/>
        <v>8.0813081835273692</v>
      </c>
      <c r="X242">
        <f t="shared" si="127"/>
        <v>8.1063223968222022</v>
      </c>
      <c r="Y242">
        <f t="shared" si="128"/>
        <v>7.9644961313229325</v>
      </c>
      <c r="Z242">
        <f t="shared" si="129"/>
        <v>8.0378255467278166</v>
      </c>
      <c r="AA242">
        <f t="shared" si="130"/>
        <v>8.0445395408933393</v>
      </c>
      <c r="AB242">
        <f t="shared" si="131"/>
        <v>7.767436455861219</v>
      </c>
      <c r="AC242">
        <f t="shared" si="132"/>
        <v>7.5661768137165515</v>
      </c>
      <c r="AD242">
        <f t="shared" si="133"/>
        <v>7.5910453640139144</v>
      </c>
      <c r="AE242">
        <f t="shared" si="134"/>
        <v>7.7140349766650429</v>
      </c>
      <c r="AF242">
        <f t="shared" si="135"/>
        <v>7.7532592471151576</v>
      </c>
      <c r="AG242">
        <f t="shared" si="136"/>
        <v>7.8525224450675513</v>
      </c>
      <c r="AH242">
        <f t="shared" si="137"/>
        <v>7.8083796058384953</v>
      </c>
      <c r="AI242">
        <f t="shared" si="138"/>
        <v>7.778008054364669</v>
      </c>
      <c r="AJ242" t="str">
        <f t="shared" si="139"/>
        <v>C01826</v>
      </c>
      <c r="AL242">
        <f t="shared" si="140"/>
        <v>7.9240625239219948</v>
      </c>
      <c r="AM242">
        <f t="shared" si="141"/>
        <v>0.22842870494209336</v>
      </c>
      <c r="AN242">
        <f t="shared" si="142"/>
        <v>1.6215117199252713</v>
      </c>
      <c r="AO242">
        <f t="shared" si="143"/>
        <v>0.87980299747946888</v>
      </c>
      <c r="AP242">
        <f t="shared" si="144"/>
        <v>1.6464041487065648</v>
      </c>
      <c r="AQ242">
        <f t="shared" si="145"/>
        <v>0.68837959592353404</v>
      </c>
      <c r="AR242">
        <f t="shared" si="146"/>
        <v>0.7978851560989686</v>
      </c>
      <c r="AS242">
        <f t="shared" si="147"/>
        <v>0.17700755870934706</v>
      </c>
      <c r="AT242">
        <f t="shared" si="148"/>
        <v>0.49802419899311973</v>
      </c>
      <c r="AU242">
        <f t="shared" si="149"/>
        <v>0.5274162763470791</v>
      </c>
      <c r="AV242">
        <f t="shared" si="150"/>
        <v>-0.68566718924611736</v>
      </c>
      <c r="AW242">
        <f t="shared" si="151"/>
        <v>-1.5667282721589975</v>
      </c>
      <c r="AX242">
        <f t="shared" si="152"/>
        <v>-1.4578603857711325</v>
      </c>
      <c r="AY242">
        <f t="shared" si="153"/>
        <v>-0.91944463507856378</v>
      </c>
      <c r="AZ242">
        <f t="shared" si="154"/>
        <v>-0.74773123128345831</v>
      </c>
      <c r="BA242">
        <f t="shared" si="155"/>
        <v>-0.31318340167703079</v>
      </c>
      <c r="BB242">
        <f t="shared" si="156"/>
        <v>-0.50642898891724275</v>
      </c>
      <c r="BC242">
        <f t="shared" si="157"/>
        <v>-0.63938754805071718</v>
      </c>
      <c r="BD242" t="str">
        <f t="shared" si="158"/>
        <v>C01826</v>
      </c>
    </row>
    <row r="243" spans="1:56" x14ac:dyDescent="0.2">
      <c r="A243" t="s">
        <v>154</v>
      </c>
      <c r="B243">
        <v>255124576</v>
      </c>
      <c r="C243">
        <v>170551744</v>
      </c>
      <c r="D243">
        <v>292354752</v>
      </c>
      <c r="E243">
        <v>145340464</v>
      </c>
      <c r="F243">
        <v>208903504</v>
      </c>
      <c r="G243">
        <v>150330288</v>
      </c>
      <c r="H243">
        <v>168695648</v>
      </c>
      <c r="I243">
        <v>180839312</v>
      </c>
      <c r="J243">
        <v>116789776</v>
      </c>
      <c r="K243">
        <v>75336896</v>
      </c>
      <c r="L243">
        <v>86552136</v>
      </c>
      <c r="M243">
        <v>105893544</v>
      </c>
      <c r="N243">
        <v>120963368</v>
      </c>
      <c r="O243">
        <v>137008960</v>
      </c>
      <c r="P243">
        <v>136585536</v>
      </c>
      <c r="Q243">
        <v>121661776</v>
      </c>
      <c r="R243" s="2" t="s">
        <v>155</v>
      </c>
      <c r="S243" s="4" t="s">
        <v>422</v>
      </c>
      <c r="T243">
        <f t="shared" si="123"/>
        <v>8.4067522959563146</v>
      </c>
      <c r="U243">
        <f t="shared" si="124"/>
        <v>8.2318561647032755</v>
      </c>
      <c r="V243">
        <f t="shared" si="125"/>
        <v>8.4659101573510185</v>
      </c>
      <c r="W243">
        <f t="shared" si="126"/>
        <v>8.1623865423462867</v>
      </c>
      <c r="X243">
        <f t="shared" si="127"/>
        <v>8.3199457245906583</v>
      </c>
      <c r="Y243">
        <f t="shared" si="128"/>
        <v>8.1770464894763144</v>
      </c>
      <c r="Z243">
        <f t="shared" si="129"/>
        <v>8.2271038788311834</v>
      </c>
      <c r="AA243">
        <f t="shared" si="130"/>
        <v>8.257292846099638</v>
      </c>
      <c r="AB243">
        <f t="shared" si="131"/>
        <v>8.0674048254721828</v>
      </c>
      <c r="AC243">
        <f t="shared" si="132"/>
        <v>7.8770077226121078</v>
      </c>
      <c r="AD243">
        <f t="shared" si="133"/>
        <v>7.9372777901960063</v>
      </c>
      <c r="AE243">
        <f t="shared" si="134"/>
        <v>8.0248694833308747</v>
      </c>
      <c r="AF243">
        <f t="shared" si="135"/>
        <v>8.0826538704475723</v>
      </c>
      <c r="AG243">
        <f t="shared" si="136"/>
        <v>8.136748969720756</v>
      </c>
      <c r="AH243">
        <f t="shared" si="137"/>
        <v>8.1354047112929688</v>
      </c>
      <c r="AI243">
        <f t="shared" si="138"/>
        <v>8.0851541519376067</v>
      </c>
      <c r="AJ243" t="str">
        <f t="shared" si="139"/>
        <v>C00148</v>
      </c>
      <c r="AL243">
        <f t="shared" si="140"/>
        <v>8.1621759765227981</v>
      </c>
      <c r="AM243">
        <f t="shared" si="141"/>
        <v>0.15677091780911681</v>
      </c>
      <c r="AN243">
        <f t="shared" si="142"/>
        <v>1.5600873098881189</v>
      </c>
      <c r="AO243">
        <f t="shared" si="143"/>
        <v>0.44447139274466391</v>
      </c>
      <c r="AP243">
        <f t="shared" si="144"/>
        <v>1.9374395779072047</v>
      </c>
      <c r="AQ243">
        <f t="shared" si="145"/>
        <v>1.343143399497951E-3</v>
      </c>
      <c r="AR243">
        <f t="shared" si="146"/>
        <v>1.0063712726359075</v>
      </c>
      <c r="AS243">
        <f t="shared" si="147"/>
        <v>9.4855048125842459E-2</v>
      </c>
      <c r="AT243">
        <f t="shared" si="148"/>
        <v>0.41415782477870716</v>
      </c>
      <c r="AU243">
        <f t="shared" si="149"/>
        <v>0.60672521986924577</v>
      </c>
      <c r="AV243">
        <f t="shared" si="150"/>
        <v>-0.60451997331550988</v>
      </c>
      <c r="AW243">
        <f t="shared" si="151"/>
        <v>-1.8190124666993992</v>
      </c>
      <c r="AX243">
        <f t="shared" si="152"/>
        <v>-1.4345657311302233</v>
      </c>
      <c r="AY243">
        <f t="shared" si="153"/>
        <v>-0.87584161087266765</v>
      </c>
      <c r="AZ243">
        <f t="shared" si="154"/>
        <v>-0.50725037007215446</v>
      </c>
      <c r="BA243">
        <f t="shared" si="155"/>
        <v>-0.16219211545984491</v>
      </c>
      <c r="BB243">
        <f t="shared" si="156"/>
        <v>-0.17076678253823721</v>
      </c>
      <c r="BC243">
        <f t="shared" si="157"/>
        <v>-0.49130173926118559</v>
      </c>
      <c r="BD243" t="str">
        <f t="shared" si="158"/>
        <v>C00148</v>
      </c>
    </row>
    <row r="244" spans="1:56" x14ac:dyDescent="0.2">
      <c r="A244" t="s">
        <v>157</v>
      </c>
      <c r="B244">
        <v>870503.0625</v>
      </c>
      <c r="C244">
        <v>600043.8125</v>
      </c>
      <c r="D244">
        <v>2151952.75</v>
      </c>
      <c r="E244">
        <v>395490.0625</v>
      </c>
      <c r="F244">
        <v>384958.1875</v>
      </c>
      <c r="G244">
        <v>257987.75</v>
      </c>
      <c r="H244">
        <v>275247.75</v>
      </c>
      <c r="I244">
        <v>312773.5</v>
      </c>
      <c r="J244">
        <v>551019.3125</v>
      </c>
      <c r="K244">
        <v>303980.84379999997</v>
      </c>
      <c r="L244">
        <v>323290.8125</v>
      </c>
      <c r="M244">
        <v>473241.6875</v>
      </c>
      <c r="N244">
        <v>1121503.375</v>
      </c>
      <c r="O244">
        <v>1262409.75</v>
      </c>
      <c r="P244">
        <v>1050923.875</v>
      </c>
      <c r="Q244">
        <v>690535.3125</v>
      </c>
      <c r="R244" s="2"/>
      <c r="S244" s="4" t="s">
        <v>422</v>
      </c>
      <c r="T244">
        <f t="shared" si="123"/>
        <v>5.9397703033390608</v>
      </c>
      <c r="U244">
        <f t="shared" si="124"/>
        <v>5.7781829617708427</v>
      </c>
      <c r="V244">
        <f t="shared" si="125"/>
        <v>6.3328327313811776</v>
      </c>
      <c r="W244">
        <f t="shared" si="126"/>
        <v>5.5971355754300669</v>
      </c>
      <c r="X244">
        <f t="shared" si="127"/>
        <v>5.5854135608743141</v>
      </c>
      <c r="Y244">
        <f t="shared" si="128"/>
        <v>5.4115990849023454</v>
      </c>
      <c r="Z244">
        <f t="shared" si="129"/>
        <v>5.4397237775381466</v>
      </c>
      <c r="AA244">
        <f t="shared" si="130"/>
        <v>5.4952299499782731</v>
      </c>
      <c r="AB244">
        <f t="shared" si="131"/>
        <v>5.7411668205672077</v>
      </c>
      <c r="AC244">
        <f t="shared" si="132"/>
        <v>5.4828462161940008</v>
      </c>
      <c r="AD244">
        <f t="shared" si="133"/>
        <v>5.5095933627085296</v>
      </c>
      <c r="AE244">
        <f t="shared" si="134"/>
        <v>5.6750829943112997</v>
      </c>
      <c r="AF244">
        <f t="shared" si="135"/>
        <v>6.0498005848665306</v>
      </c>
      <c r="AG244">
        <f t="shared" si="136"/>
        <v>6.101200340075458</v>
      </c>
      <c r="AH244">
        <f t="shared" si="137"/>
        <v>6.0215712584975076</v>
      </c>
      <c r="AI244">
        <f t="shared" si="138"/>
        <v>5.8391858923741138</v>
      </c>
      <c r="AJ244">
        <f t="shared" si="139"/>
        <v>0</v>
      </c>
      <c r="AL244">
        <f t="shared" si="140"/>
        <v>5.7500209634255555</v>
      </c>
      <c r="AM244">
        <f t="shared" si="141"/>
        <v>0.27476484163111475</v>
      </c>
      <c r="AN244">
        <f t="shared" si="142"/>
        <v>0.69058813633897553</v>
      </c>
      <c r="AO244">
        <f t="shared" si="143"/>
        <v>0.10249491229702551</v>
      </c>
      <c r="AP244">
        <f t="shared" si="144"/>
        <v>2.1211293428075324</v>
      </c>
      <c r="AQ244">
        <f t="shared" si="145"/>
        <v>-0.55642267434180925</v>
      </c>
      <c r="AR244">
        <f t="shared" si="146"/>
        <v>-0.59908466299423746</v>
      </c>
      <c r="AS244">
        <f t="shared" si="147"/>
        <v>-1.2316782471665642</v>
      </c>
      <c r="AT244">
        <f t="shared" si="148"/>
        <v>-1.1293191080975273</v>
      </c>
      <c r="AU244">
        <f t="shared" si="149"/>
        <v>-0.92730573509601999</v>
      </c>
      <c r="AV244">
        <f t="shared" si="150"/>
        <v>-3.2224438926705387E-2</v>
      </c>
      <c r="AW244">
        <f t="shared" si="151"/>
        <v>-0.97237603488676994</v>
      </c>
      <c r="AX244">
        <f t="shared" si="152"/>
        <v>-0.87503044163056232</v>
      </c>
      <c r="AY244">
        <f t="shared" si="153"/>
        <v>-0.27273492732692362</v>
      </c>
      <c r="AZ244">
        <f t="shared" si="154"/>
        <v>1.0910406865061868</v>
      </c>
      <c r="BA244">
        <f t="shared" si="155"/>
        <v>1.2781088532475999</v>
      </c>
      <c r="BB244">
        <f t="shared" si="156"/>
        <v>0.98830073549410558</v>
      </c>
      <c r="BC244">
        <f t="shared" si="157"/>
        <v>0.32451360377564825</v>
      </c>
      <c r="BD244">
        <f t="shared" si="158"/>
        <v>0</v>
      </c>
    </row>
    <row r="245" spans="1:56" x14ac:dyDescent="0.2">
      <c r="A245" t="s">
        <v>158</v>
      </c>
      <c r="B245">
        <v>196998240</v>
      </c>
      <c r="C245">
        <v>133362824</v>
      </c>
      <c r="D245">
        <v>199594464</v>
      </c>
      <c r="E245">
        <v>120589136</v>
      </c>
      <c r="F245">
        <v>127738672</v>
      </c>
      <c r="G245">
        <v>92150168</v>
      </c>
      <c r="H245">
        <v>109100200</v>
      </c>
      <c r="I245">
        <v>110799944</v>
      </c>
      <c r="J245">
        <v>58537808</v>
      </c>
      <c r="K245">
        <v>36827888</v>
      </c>
      <c r="L245">
        <v>38998272</v>
      </c>
      <c r="M245">
        <v>51764852</v>
      </c>
      <c r="N245">
        <v>56657740</v>
      </c>
      <c r="O245">
        <v>71206960</v>
      </c>
      <c r="P245">
        <v>64324972</v>
      </c>
      <c r="Q245">
        <v>59980220</v>
      </c>
      <c r="R245" s="2" t="s">
        <v>384</v>
      </c>
      <c r="S245" s="4" t="s">
        <v>422</v>
      </c>
      <c r="T245">
        <f t="shared" si="123"/>
        <v>8.294462346152951</v>
      </c>
      <c r="U245">
        <f t="shared" si="124"/>
        <v>8.1250347832404017</v>
      </c>
      <c r="V245">
        <f t="shared" si="125"/>
        <v>8.3001484914223251</v>
      </c>
      <c r="W245">
        <f t="shared" si="126"/>
        <v>8.0813081835273692</v>
      </c>
      <c r="X245">
        <f t="shared" si="127"/>
        <v>8.1063223968222022</v>
      </c>
      <c r="Y245">
        <f t="shared" si="128"/>
        <v>7.9644961313229325</v>
      </c>
      <c r="Z245">
        <f t="shared" si="129"/>
        <v>8.0378255467278166</v>
      </c>
      <c r="AA245">
        <f t="shared" si="130"/>
        <v>8.0445395408933393</v>
      </c>
      <c r="AB245">
        <f t="shared" si="131"/>
        <v>7.767436455861219</v>
      </c>
      <c r="AC245">
        <f t="shared" si="132"/>
        <v>7.5661768137165515</v>
      </c>
      <c r="AD245">
        <f t="shared" si="133"/>
        <v>7.5910453640139144</v>
      </c>
      <c r="AE245">
        <f t="shared" si="134"/>
        <v>7.7140349766650429</v>
      </c>
      <c r="AF245">
        <f t="shared" si="135"/>
        <v>7.7532592471151576</v>
      </c>
      <c r="AG245">
        <f t="shared" si="136"/>
        <v>7.8525224450675513</v>
      </c>
      <c r="AH245">
        <f t="shared" si="137"/>
        <v>7.8083796058384953</v>
      </c>
      <c r="AI245">
        <f t="shared" si="138"/>
        <v>7.778008054364669</v>
      </c>
      <c r="AJ245" t="str">
        <f t="shared" si="139"/>
        <v>C00183</v>
      </c>
      <c r="AL245">
        <f t="shared" si="140"/>
        <v>7.9240625239219948</v>
      </c>
      <c r="AM245">
        <f t="shared" si="141"/>
        <v>0.22842870494209336</v>
      </c>
      <c r="AN245">
        <f t="shared" si="142"/>
        <v>1.6215117199252713</v>
      </c>
      <c r="AO245">
        <f t="shared" si="143"/>
        <v>0.87980299747946888</v>
      </c>
      <c r="AP245">
        <f t="shared" si="144"/>
        <v>1.6464041487065648</v>
      </c>
      <c r="AQ245">
        <f t="shared" si="145"/>
        <v>0.68837959592353404</v>
      </c>
      <c r="AR245">
        <f t="shared" si="146"/>
        <v>0.7978851560989686</v>
      </c>
      <c r="AS245">
        <f t="shared" si="147"/>
        <v>0.17700755870934706</v>
      </c>
      <c r="AT245">
        <f t="shared" si="148"/>
        <v>0.49802419899311973</v>
      </c>
      <c r="AU245">
        <f t="shared" si="149"/>
        <v>0.5274162763470791</v>
      </c>
      <c r="AV245">
        <f t="shared" si="150"/>
        <v>-0.68566718924611736</v>
      </c>
      <c r="AW245">
        <f t="shared" si="151"/>
        <v>-1.5667282721589975</v>
      </c>
      <c r="AX245">
        <f t="shared" si="152"/>
        <v>-1.4578603857711325</v>
      </c>
      <c r="AY245">
        <f t="shared" si="153"/>
        <v>-0.91944463507856378</v>
      </c>
      <c r="AZ245">
        <f t="shared" si="154"/>
        <v>-0.74773123128345831</v>
      </c>
      <c r="BA245">
        <f t="shared" si="155"/>
        <v>-0.31318340167703079</v>
      </c>
      <c r="BB245">
        <f t="shared" si="156"/>
        <v>-0.50642898891724275</v>
      </c>
      <c r="BC245">
        <f t="shared" si="157"/>
        <v>-0.63938754805071718</v>
      </c>
      <c r="BD245" t="str">
        <f t="shared" si="158"/>
        <v>C00183</v>
      </c>
    </row>
    <row r="246" spans="1:56" x14ac:dyDescent="0.2">
      <c r="A246" t="s">
        <v>162</v>
      </c>
      <c r="B246">
        <v>2871948.25</v>
      </c>
      <c r="C246">
        <v>2344439.25</v>
      </c>
      <c r="D246">
        <v>4283073</v>
      </c>
      <c r="E246">
        <v>1516806.625</v>
      </c>
      <c r="F246">
        <v>1146105.75</v>
      </c>
      <c r="G246">
        <v>1125284.125</v>
      </c>
      <c r="H246">
        <v>1012752</v>
      </c>
      <c r="I246">
        <v>1164810.125</v>
      </c>
      <c r="J246">
        <v>844235.375</v>
      </c>
      <c r="K246">
        <v>398896.09379999997</v>
      </c>
      <c r="L246">
        <v>325815.59379999997</v>
      </c>
      <c r="M246">
        <v>520120.28120000003</v>
      </c>
      <c r="N246">
        <v>667813.5625</v>
      </c>
      <c r="O246">
        <v>1076365.875</v>
      </c>
      <c r="P246">
        <v>850310.6875</v>
      </c>
      <c r="Q246">
        <v>586689</v>
      </c>
      <c r="R246" s="2" t="s">
        <v>163</v>
      </c>
      <c r="S246" s="4" t="s">
        <v>422</v>
      </c>
      <c r="T246">
        <f t="shared" si="123"/>
        <v>6.4581766100333811</v>
      </c>
      <c r="U246">
        <f t="shared" si="124"/>
        <v>6.3700389836171585</v>
      </c>
      <c r="V246">
        <f t="shared" si="125"/>
        <v>6.631755476504205</v>
      </c>
      <c r="W246">
        <f t="shared" si="126"/>
        <v>6.1809302168786555</v>
      </c>
      <c r="X246">
        <f t="shared" si="127"/>
        <v>6.0592246913858165</v>
      </c>
      <c r="Y246">
        <f t="shared" si="128"/>
        <v>6.0512621920832776</v>
      </c>
      <c r="Z246">
        <f t="shared" si="129"/>
        <v>6.0055031095086555</v>
      </c>
      <c r="AA246">
        <f t="shared" si="130"/>
        <v>6.0662551370483904</v>
      </c>
      <c r="AB246">
        <f t="shared" si="131"/>
        <v>5.9264635459295247</v>
      </c>
      <c r="AC246">
        <f t="shared" si="132"/>
        <v>5.6008597834910594</v>
      </c>
      <c r="AD246">
        <f t="shared" si="133"/>
        <v>5.5129718661579581</v>
      </c>
      <c r="AE246">
        <f t="shared" si="134"/>
        <v>5.7161037886748849</v>
      </c>
      <c r="AF246">
        <f t="shared" si="135"/>
        <v>5.8246552348128411</v>
      </c>
      <c r="AG246">
        <f t="shared" si="136"/>
        <v>6.0319599204795624</v>
      </c>
      <c r="AH246">
        <f t="shared" si="137"/>
        <v>5.9295776377300911</v>
      </c>
      <c r="AI246">
        <f t="shared" si="138"/>
        <v>5.7684079455811084</v>
      </c>
      <c r="AJ246" t="str">
        <f t="shared" si="139"/>
        <v>C00258</v>
      </c>
      <c r="AL246">
        <f t="shared" si="140"/>
        <v>6.0083841337447845</v>
      </c>
      <c r="AM246">
        <f t="shared" si="141"/>
        <v>0.30122101320267769</v>
      </c>
      <c r="AN246">
        <f t="shared" si="142"/>
        <v>1.4932307394701976</v>
      </c>
      <c r="AO246">
        <f t="shared" si="143"/>
        <v>1.2006295511297318</v>
      </c>
      <c r="AP246">
        <f t="shared" si="144"/>
        <v>2.06948159469865</v>
      </c>
      <c r="AQ246">
        <f t="shared" si="145"/>
        <v>0.5728221988874751</v>
      </c>
      <c r="AR246">
        <f t="shared" si="146"/>
        <v>0.16878157702372429</v>
      </c>
      <c r="AS246">
        <f t="shared" si="147"/>
        <v>0.142347500536566</v>
      </c>
      <c r="AT246">
        <f t="shared" si="148"/>
        <v>-9.5644862405084175E-3</v>
      </c>
      <c r="AU246">
        <f t="shared" si="149"/>
        <v>0.19212140178503123</v>
      </c>
      <c r="AV246">
        <f t="shared" si="150"/>
        <v>-0.27196172984166683</v>
      </c>
      <c r="AW246">
        <f t="shared" si="151"/>
        <v>-1.3529081053170777</v>
      </c>
      <c r="AX246">
        <f t="shared" si="152"/>
        <v>-1.6446803040712383</v>
      </c>
      <c r="AY246">
        <f t="shared" si="153"/>
        <v>-0.97031857758621143</v>
      </c>
      <c r="AZ246">
        <f t="shared" si="154"/>
        <v>-0.6099471513573349</v>
      </c>
      <c r="BA246">
        <f t="shared" si="155"/>
        <v>7.8267404003833016E-2</v>
      </c>
      <c r="BB246">
        <f t="shared" si="156"/>
        <v>-0.26162350088660058</v>
      </c>
      <c r="BC246">
        <f t="shared" si="157"/>
        <v>-0.79667811223451157</v>
      </c>
      <c r="BD246" t="str">
        <f t="shared" si="158"/>
        <v>C00258</v>
      </c>
    </row>
    <row r="247" spans="1:56" x14ac:dyDescent="0.2">
      <c r="A247" t="s">
        <v>164</v>
      </c>
      <c r="B247">
        <v>2242386.75</v>
      </c>
      <c r="C247">
        <v>2789924.25</v>
      </c>
      <c r="D247">
        <v>2604246</v>
      </c>
      <c r="E247">
        <v>2310508.25</v>
      </c>
      <c r="F247">
        <v>1558953</v>
      </c>
      <c r="G247">
        <v>2183750.25</v>
      </c>
      <c r="H247">
        <v>1608071.25</v>
      </c>
      <c r="I247">
        <v>2616989.5</v>
      </c>
      <c r="J247">
        <v>938049.625</v>
      </c>
      <c r="K247">
        <v>844955.0625</v>
      </c>
      <c r="L247">
        <v>938683.875</v>
      </c>
      <c r="M247">
        <v>1222482.75</v>
      </c>
      <c r="N247">
        <v>1228965.75</v>
      </c>
      <c r="O247">
        <v>1526412.625</v>
      </c>
      <c r="P247">
        <v>1932447.625</v>
      </c>
      <c r="Q247">
        <v>1001580.75</v>
      </c>
      <c r="R247" s="2"/>
      <c r="S247" s="4" t="s">
        <v>422</v>
      </c>
      <c r="T247">
        <f t="shared" si="123"/>
        <v>6.3507105185647132</v>
      </c>
      <c r="U247">
        <f t="shared" si="124"/>
        <v>6.4455924117848484</v>
      </c>
      <c r="V247">
        <f t="shared" si="125"/>
        <v>6.415682005778045</v>
      </c>
      <c r="W247">
        <f t="shared" si="126"/>
        <v>6.3637075235680234</v>
      </c>
      <c r="X247">
        <f t="shared" si="127"/>
        <v>6.1928330220853534</v>
      </c>
      <c r="Y247">
        <f t="shared" si="128"/>
        <v>6.3392029677098716</v>
      </c>
      <c r="Z247">
        <f t="shared" si="129"/>
        <v>6.2063052874449625</v>
      </c>
      <c r="AA247">
        <f t="shared" si="130"/>
        <v>6.4178019801480168</v>
      </c>
      <c r="AB247">
        <f t="shared" si="131"/>
        <v>5.9722258141717965</v>
      </c>
      <c r="AC247">
        <f t="shared" si="132"/>
        <v>5.9268336123494123</v>
      </c>
      <c r="AD247">
        <f t="shared" si="133"/>
        <v>5.9725193574858935</v>
      </c>
      <c r="AE247">
        <f t="shared" si="134"/>
        <v>6.087242739670776</v>
      </c>
      <c r="AF247">
        <f t="shared" si="135"/>
        <v>6.0895397797186162</v>
      </c>
      <c r="AG247">
        <f t="shared" si="136"/>
        <v>6.1836719494362509</v>
      </c>
      <c r="AH247">
        <f t="shared" si="137"/>
        <v>6.2861077320952887</v>
      </c>
      <c r="AI247">
        <f t="shared" si="138"/>
        <v>6.0006859689722694</v>
      </c>
      <c r="AJ247">
        <f t="shared" si="139"/>
        <v>0</v>
      </c>
      <c r="AL247">
        <f t="shared" si="140"/>
        <v>6.2031664169365079</v>
      </c>
      <c r="AM247">
        <f t="shared" si="141"/>
        <v>0.17770112237841529</v>
      </c>
      <c r="AN247">
        <f t="shared" si="142"/>
        <v>0.83029358314355228</v>
      </c>
      <c r="AO247">
        <f t="shared" si="143"/>
        <v>1.364234460669828</v>
      </c>
      <c r="AP247">
        <f t="shared" si="144"/>
        <v>1.1959158501485672</v>
      </c>
      <c r="AQ247">
        <f t="shared" si="145"/>
        <v>0.90343327314299382</v>
      </c>
      <c r="AR247">
        <f t="shared" si="146"/>
        <v>-5.8150419720757754E-2</v>
      </c>
      <c r="AS247">
        <f t="shared" si="147"/>
        <v>0.7655356868465536</v>
      </c>
      <c r="AT247">
        <f t="shared" si="148"/>
        <v>1.7663762988341054E-2</v>
      </c>
      <c r="AU247">
        <f t="shared" si="149"/>
        <v>1.2078458500360034</v>
      </c>
      <c r="AV247">
        <f t="shared" si="150"/>
        <v>-1.2996012612285162</v>
      </c>
      <c r="AW247">
        <f t="shared" si="151"/>
        <v>-1.5550425393411065</v>
      </c>
      <c r="AX247">
        <f t="shared" si="152"/>
        <v>-1.2979493678123799</v>
      </c>
      <c r="AY247">
        <f t="shared" si="153"/>
        <v>-0.65235197006168577</v>
      </c>
      <c r="AZ247">
        <f t="shared" si="154"/>
        <v>-0.63942554609150637</v>
      </c>
      <c r="BA247">
        <f t="shared" si="155"/>
        <v>-0.10970368244913796</v>
      </c>
      <c r="BB247">
        <f t="shared" si="156"/>
        <v>0.46674615246468115</v>
      </c>
      <c r="BC247">
        <f t="shared" si="157"/>
        <v>-1.1394438327353702</v>
      </c>
      <c r="BD247">
        <f t="shared" si="158"/>
        <v>0</v>
      </c>
    </row>
    <row r="248" spans="1:56" x14ac:dyDescent="0.2">
      <c r="A248" t="s">
        <v>302</v>
      </c>
      <c r="E248">
        <v>44695.863279999998</v>
      </c>
      <c r="F248">
        <v>37909.957029999998</v>
      </c>
      <c r="G248">
        <v>39836.898439999997</v>
      </c>
      <c r="I248">
        <v>35949.183590000001</v>
      </c>
      <c r="K248">
        <v>64717.511720000002</v>
      </c>
      <c r="L248">
        <v>36736.164060000003</v>
      </c>
      <c r="M248">
        <v>46146.441409999999</v>
      </c>
      <c r="N248">
        <v>41098.773439999997</v>
      </c>
      <c r="O248">
        <v>33620.878909999999</v>
      </c>
      <c r="R248" s="2" t="s">
        <v>406</v>
      </c>
      <c r="S248" s="4" t="s">
        <v>422</v>
      </c>
      <c r="T248" t="e">
        <f t="shared" si="123"/>
        <v>#NUM!</v>
      </c>
      <c r="U248" t="e">
        <f t="shared" si="124"/>
        <v>#NUM!</v>
      </c>
      <c r="V248" t="e">
        <f t="shared" si="125"/>
        <v>#NUM!</v>
      </c>
      <c r="W248">
        <f t="shared" si="126"/>
        <v>4.6502673298924613</v>
      </c>
      <c r="X248">
        <f t="shared" si="127"/>
        <v>4.5787532921646443</v>
      </c>
      <c r="Y248">
        <f t="shared" si="128"/>
        <v>4.6002855184357001</v>
      </c>
      <c r="Z248" t="e">
        <f t="shared" si="129"/>
        <v>#NUM!</v>
      </c>
      <c r="AA248">
        <f t="shared" si="130"/>
        <v>4.5556890319543948</v>
      </c>
      <c r="AB248" t="e">
        <f t="shared" si="131"/>
        <v>#NUM!</v>
      </c>
      <c r="AC248">
        <f t="shared" si="132"/>
        <v>4.8110218110293133</v>
      </c>
      <c r="AD248">
        <f t="shared" si="133"/>
        <v>4.5650938059015038</v>
      </c>
      <c r="AE248">
        <f t="shared" si="134"/>
        <v>4.6641382159667275</v>
      </c>
      <c r="AF248">
        <f t="shared" si="135"/>
        <v>4.6138288608982476</v>
      </c>
      <c r="AG248">
        <f t="shared" si="136"/>
        <v>4.5266090624875632</v>
      </c>
      <c r="AH248" t="e">
        <f t="shared" si="137"/>
        <v>#NUM!</v>
      </c>
      <c r="AI248" t="e">
        <f t="shared" si="138"/>
        <v>#NUM!</v>
      </c>
      <c r="AJ248" t="str">
        <f t="shared" si="139"/>
        <v>C00575</v>
      </c>
      <c r="AL248" t="e">
        <f t="shared" si="140"/>
        <v>#NUM!</v>
      </c>
      <c r="AM248" t="e">
        <f t="shared" si="141"/>
        <v>#NUM!</v>
      </c>
      <c r="AN248" t="e">
        <f t="shared" si="142"/>
        <v>#NUM!</v>
      </c>
      <c r="AO248" t="e">
        <f t="shared" si="143"/>
        <v>#NUM!</v>
      </c>
      <c r="AP248" t="e">
        <f t="shared" si="144"/>
        <v>#NUM!</v>
      </c>
      <c r="AQ248" t="e">
        <f t="shared" si="145"/>
        <v>#NUM!</v>
      </c>
      <c r="AR248" t="e">
        <f t="shared" si="146"/>
        <v>#NUM!</v>
      </c>
      <c r="AS248" t="e">
        <f t="shared" si="147"/>
        <v>#NUM!</v>
      </c>
      <c r="AT248" t="e">
        <f t="shared" si="148"/>
        <v>#NUM!</v>
      </c>
      <c r="AU248" t="e">
        <f t="shared" si="149"/>
        <v>#NUM!</v>
      </c>
      <c r="AV248" t="e">
        <f t="shared" si="150"/>
        <v>#NUM!</v>
      </c>
      <c r="AW248" t="e">
        <f t="shared" si="151"/>
        <v>#NUM!</v>
      </c>
      <c r="AX248" t="e">
        <f t="shared" si="152"/>
        <v>#NUM!</v>
      </c>
      <c r="AY248" t="e">
        <f t="shared" si="153"/>
        <v>#NUM!</v>
      </c>
      <c r="AZ248" t="e">
        <f t="shared" si="154"/>
        <v>#NUM!</v>
      </c>
      <c r="BA248" t="e">
        <f t="shared" si="155"/>
        <v>#NUM!</v>
      </c>
      <c r="BB248" t="e">
        <f t="shared" si="156"/>
        <v>#NUM!</v>
      </c>
      <c r="BC248" t="e">
        <f t="shared" si="157"/>
        <v>#NUM!</v>
      </c>
      <c r="BD248" t="str">
        <f t="shared" si="158"/>
        <v>C00575</v>
      </c>
    </row>
    <row r="249" spans="1:56" x14ac:dyDescent="0.2">
      <c r="A249" t="s">
        <v>165</v>
      </c>
      <c r="B249">
        <v>7308496.5</v>
      </c>
      <c r="C249">
        <v>4532328</v>
      </c>
      <c r="D249">
        <v>9078848</v>
      </c>
      <c r="E249">
        <v>5328920</v>
      </c>
      <c r="F249">
        <v>4394509</v>
      </c>
      <c r="G249">
        <v>5762353.5</v>
      </c>
      <c r="H249">
        <v>4925417</v>
      </c>
      <c r="I249">
        <v>4939233.5</v>
      </c>
      <c r="J249">
        <v>1810156.75</v>
      </c>
      <c r="K249">
        <v>1431811.25</v>
      </c>
      <c r="L249">
        <v>1109977.375</v>
      </c>
      <c r="M249">
        <v>1796162.75</v>
      </c>
      <c r="N249">
        <v>1700378.25</v>
      </c>
      <c r="O249">
        <v>1705282.125</v>
      </c>
      <c r="P249">
        <v>1659993</v>
      </c>
      <c r="Q249">
        <v>1332548.5</v>
      </c>
      <c r="R249" s="2" t="s">
        <v>166</v>
      </c>
      <c r="S249" s="4" t="s">
        <v>422</v>
      </c>
      <c r="T249">
        <f t="shared" si="123"/>
        <v>6.8638280433173122</v>
      </c>
      <c r="U249">
        <f t="shared" si="124"/>
        <v>6.6563213317817196</v>
      </c>
      <c r="V249">
        <f t="shared" si="125"/>
        <v>6.9580307451088172</v>
      </c>
      <c r="W249">
        <f t="shared" si="126"/>
        <v>6.7266392004774769</v>
      </c>
      <c r="X249">
        <f t="shared" si="127"/>
        <v>6.6429103582487485</v>
      </c>
      <c r="Y249">
        <f t="shared" si="128"/>
        <v>6.7605998971915664</v>
      </c>
      <c r="Z249">
        <f t="shared" si="129"/>
        <v>6.6924430050128141</v>
      </c>
      <c r="AA249">
        <f t="shared" si="130"/>
        <v>6.6936595577194513</v>
      </c>
      <c r="AB249">
        <f t="shared" si="131"/>
        <v>6.2577161841025859</v>
      </c>
      <c r="AC249">
        <f t="shared" si="132"/>
        <v>6.1558857704255274</v>
      </c>
      <c r="AD249">
        <f t="shared" si="133"/>
        <v>6.0453141265228787</v>
      </c>
      <c r="AE249">
        <f t="shared" si="134"/>
        <v>6.2543456854630319</v>
      </c>
      <c r="AF249">
        <f t="shared" si="135"/>
        <v>6.2305455411519466</v>
      </c>
      <c r="AG249">
        <f t="shared" si="136"/>
        <v>6.2317962397477187</v>
      </c>
      <c r="AH249">
        <f t="shared" si="137"/>
        <v>6.2201062566739207</v>
      </c>
      <c r="AI249">
        <f t="shared" si="138"/>
        <v>6.1246830247523087</v>
      </c>
      <c r="AJ249" t="str">
        <f t="shared" si="139"/>
        <v>C00082</v>
      </c>
      <c r="AL249">
        <f t="shared" si="140"/>
        <v>6.4696765604811146</v>
      </c>
      <c r="AM249">
        <f t="shared" si="141"/>
        <v>0.3026626469927618</v>
      </c>
      <c r="AN249">
        <f t="shared" si="142"/>
        <v>1.3022799038879211</v>
      </c>
      <c r="AO249">
        <f t="shared" si="143"/>
        <v>0.61667593657524777</v>
      </c>
      <c r="AP249">
        <f t="shared" si="144"/>
        <v>1.6135264443100628</v>
      </c>
      <c r="AQ249">
        <f t="shared" si="145"/>
        <v>0.8490067821369035</v>
      </c>
      <c r="AR249">
        <f t="shared" si="146"/>
        <v>0.57236596418115915</v>
      </c>
      <c r="AS249">
        <f t="shared" si="147"/>
        <v>0.96121321742556898</v>
      </c>
      <c r="AT249">
        <f t="shared" si="148"/>
        <v>0.73602225694215562</v>
      </c>
      <c r="AU249">
        <f t="shared" si="149"/>
        <v>0.74004175759321</v>
      </c>
      <c r="AV249">
        <f t="shared" si="150"/>
        <v>-0.70031891442354877</v>
      </c>
      <c r="AW249">
        <f t="shared" si="151"/>
        <v>-1.0367674808021206</v>
      </c>
      <c r="AX249">
        <f t="shared" si="152"/>
        <v>-1.40209714735094</v>
      </c>
      <c r="AY249">
        <f t="shared" si="153"/>
        <v>-0.71145507104228933</v>
      </c>
      <c r="AZ249">
        <f t="shared" si="154"/>
        <v>-0.79009095342672686</v>
      </c>
      <c r="BA249">
        <f t="shared" si="155"/>
        <v>-0.78595863446302594</v>
      </c>
      <c r="BB249">
        <f t="shared" si="156"/>
        <v>-0.8245824395144552</v>
      </c>
      <c r="BC249">
        <f t="shared" si="157"/>
        <v>-1.1398616220291513</v>
      </c>
      <c r="BD249" t="str">
        <f t="shared" si="158"/>
        <v>C00082</v>
      </c>
    </row>
    <row r="250" spans="1:56" x14ac:dyDescent="0.2">
      <c r="A250" t="s">
        <v>167</v>
      </c>
      <c r="B250">
        <v>398500.9375</v>
      </c>
      <c r="C250">
        <v>327575</v>
      </c>
      <c r="D250">
        <v>258150.25</v>
      </c>
      <c r="E250">
        <v>174457.29689999999</v>
      </c>
      <c r="F250">
        <v>310302.9375</v>
      </c>
      <c r="G250">
        <v>426668.9375</v>
      </c>
      <c r="H250">
        <v>453780.125</v>
      </c>
      <c r="I250">
        <v>326876.125</v>
      </c>
      <c r="J250">
        <v>55760.628909999999</v>
      </c>
      <c r="K250">
        <v>64692.234380000002</v>
      </c>
      <c r="L250">
        <v>157641.0625</v>
      </c>
      <c r="M250">
        <v>106947.9531</v>
      </c>
      <c r="N250">
        <v>574474.25</v>
      </c>
      <c r="O250">
        <v>1022405.25</v>
      </c>
      <c r="P250">
        <v>745467.375</v>
      </c>
      <c r="Q250">
        <v>298821.03120000003</v>
      </c>
      <c r="R250" s="2"/>
      <c r="S250" s="4" t="s">
        <v>422</v>
      </c>
      <c r="T250">
        <f t="shared" si="123"/>
        <v>5.6004293474400306</v>
      </c>
      <c r="U250">
        <f t="shared" si="124"/>
        <v>5.5153107496929437</v>
      </c>
      <c r="V250">
        <f t="shared" si="125"/>
        <v>5.4118725499664988</v>
      </c>
      <c r="W250">
        <f t="shared" si="126"/>
        <v>5.2416891390872555</v>
      </c>
      <c r="X250">
        <f t="shared" si="127"/>
        <v>5.4917858868764702</v>
      </c>
      <c r="Y250">
        <f t="shared" si="128"/>
        <v>5.6300910263526474</v>
      </c>
      <c r="Z250">
        <f t="shared" si="129"/>
        <v>5.6568454704121791</v>
      </c>
      <c r="AA250">
        <f t="shared" si="130"/>
        <v>5.5143832009125395</v>
      </c>
      <c r="AB250">
        <f t="shared" si="131"/>
        <v>4.7463276634149585</v>
      </c>
      <c r="AC250">
        <f t="shared" si="132"/>
        <v>4.8108521513282536</v>
      </c>
      <c r="AD250">
        <f t="shared" si="133"/>
        <v>5.1976693533461411</v>
      </c>
      <c r="AE250">
        <f t="shared" si="134"/>
        <v>5.029172476931091</v>
      </c>
      <c r="AF250">
        <f t="shared" si="135"/>
        <v>5.7592705668214528</v>
      </c>
      <c r="AG250">
        <f t="shared" si="136"/>
        <v>6.0096230709005694</v>
      </c>
      <c r="AH250">
        <f t="shared" si="137"/>
        <v>5.8724286415280957</v>
      </c>
      <c r="AI250">
        <f t="shared" si="138"/>
        <v>5.4754111601202071</v>
      </c>
      <c r="AJ250">
        <f t="shared" si="139"/>
        <v>0</v>
      </c>
      <c r="AL250">
        <f t="shared" si="140"/>
        <v>5.4351976534457096</v>
      </c>
      <c r="AM250">
        <f t="shared" si="141"/>
        <v>0.35418396068364794</v>
      </c>
      <c r="AN250">
        <f t="shared" si="142"/>
        <v>0.46651376780413728</v>
      </c>
      <c r="AO250">
        <f t="shared" si="143"/>
        <v>0.22619063859526359</v>
      </c>
      <c r="AP250">
        <f t="shared" si="144"/>
        <v>-6.5855899951506966E-2</v>
      </c>
      <c r="AQ250">
        <f t="shared" si="145"/>
        <v>-0.54635030334220336</v>
      </c>
      <c r="AR250">
        <f t="shared" si="146"/>
        <v>0.15977073981987677</v>
      </c>
      <c r="AS250">
        <f t="shared" si="147"/>
        <v>0.55026030125913505</v>
      </c>
      <c r="AT250">
        <f t="shared" si="148"/>
        <v>0.62579857241034742</v>
      </c>
      <c r="AU250">
        <f t="shared" si="149"/>
        <v>0.22357180521101386</v>
      </c>
      <c r="AV250">
        <f t="shared" si="150"/>
        <v>-1.9449497055176928</v>
      </c>
      <c r="AW250">
        <f t="shared" si="151"/>
        <v>-1.7627718118921609</v>
      </c>
      <c r="AX250">
        <f t="shared" si="152"/>
        <v>-0.67063539422025209</v>
      </c>
      <c r="AY250">
        <f t="shared" si="153"/>
        <v>-1.1463680504642457</v>
      </c>
      <c r="AZ250">
        <f t="shared" si="154"/>
        <v>0.91498472361711625</v>
      </c>
      <c r="BA250">
        <f t="shared" si="155"/>
        <v>1.6218278669257085</v>
      </c>
      <c r="BB250">
        <f t="shared" si="156"/>
        <v>1.2344742750022908</v>
      </c>
      <c r="BC250">
        <f t="shared" si="157"/>
        <v>0.11353847474311705</v>
      </c>
      <c r="BD250">
        <f t="shared" si="158"/>
        <v>0</v>
      </c>
    </row>
    <row r="251" spans="1:56" x14ac:dyDescent="0.2">
      <c r="A251" t="s">
        <v>303</v>
      </c>
      <c r="B251">
        <v>591379.625</v>
      </c>
      <c r="C251">
        <v>839856.0625</v>
      </c>
      <c r="D251">
        <v>369943.625</v>
      </c>
      <c r="E251">
        <v>512238.15620000003</v>
      </c>
      <c r="F251">
        <v>828507.125</v>
      </c>
      <c r="G251">
        <v>546458</v>
      </c>
      <c r="H251">
        <v>522136.21879999997</v>
      </c>
      <c r="I251">
        <v>578873.6875</v>
      </c>
      <c r="J251">
        <v>136405.2812</v>
      </c>
      <c r="K251">
        <v>93053.375</v>
      </c>
      <c r="L251">
        <v>102926.0938</v>
      </c>
      <c r="M251">
        <v>167248.14060000001</v>
      </c>
      <c r="N251">
        <v>1260260.375</v>
      </c>
      <c r="O251">
        <v>1735900.875</v>
      </c>
      <c r="P251">
        <v>1758908.75</v>
      </c>
      <c r="Q251">
        <v>1166246.375</v>
      </c>
      <c r="R251" s="2" t="s">
        <v>407</v>
      </c>
      <c r="S251" s="4" t="s">
        <v>422</v>
      </c>
      <c r="T251">
        <f t="shared" si="123"/>
        <v>5.7718663575548241</v>
      </c>
      <c r="U251">
        <f t="shared" si="124"/>
        <v>5.9242048615161869</v>
      </c>
      <c r="V251">
        <f t="shared" si="125"/>
        <v>5.568135547805352</v>
      </c>
      <c r="W251">
        <f t="shared" si="126"/>
        <v>5.7094719255769908</v>
      </c>
      <c r="X251">
        <f t="shared" si="127"/>
        <v>5.9182962476194207</v>
      </c>
      <c r="Y251">
        <f t="shared" si="128"/>
        <v>5.7375567883000187</v>
      </c>
      <c r="Z251">
        <f t="shared" si="129"/>
        <v>5.7177838197753843</v>
      </c>
      <c r="AA251">
        <f t="shared" si="130"/>
        <v>5.7625838093124164</v>
      </c>
      <c r="AB251">
        <f t="shared" si="131"/>
        <v>5.1348311852150106</v>
      </c>
      <c r="AC251">
        <f t="shared" si="132"/>
        <v>4.9687321293990285</v>
      </c>
      <c r="AD251">
        <f t="shared" si="133"/>
        <v>5.0125254909600772</v>
      </c>
      <c r="AE251">
        <f t="shared" si="134"/>
        <v>5.2233612981489879</v>
      </c>
      <c r="AF251">
        <f t="shared" si="135"/>
        <v>6.1004602814219933</v>
      </c>
      <c r="AG251">
        <f t="shared" si="136"/>
        <v>6.239524922067651</v>
      </c>
      <c r="AH251">
        <f t="shared" si="137"/>
        <v>6.2452433093838868</v>
      </c>
      <c r="AI251">
        <f t="shared" si="138"/>
        <v>6.0667903068553546</v>
      </c>
      <c r="AJ251" t="str">
        <f t="shared" si="139"/>
        <v>C02642</v>
      </c>
      <c r="AL251">
        <f t="shared" si="140"/>
        <v>5.6938355175570363</v>
      </c>
      <c r="AM251">
        <f t="shared" si="141"/>
        <v>0.41334847340777336</v>
      </c>
      <c r="AN251">
        <f t="shared" si="142"/>
        <v>0.18877737555065174</v>
      </c>
      <c r="AO251">
        <f t="shared" si="143"/>
        <v>0.55732477263049751</v>
      </c>
      <c r="AP251">
        <f t="shared" si="144"/>
        <v>-0.30410169103897894</v>
      </c>
      <c r="AQ251">
        <f t="shared" si="145"/>
        <v>3.78286337700562E-2</v>
      </c>
      <c r="AR251">
        <f t="shared" si="146"/>
        <v>0.54303026260593235</v>
      </c>
      <c r="AS251">
        <f t="shared" si="147"/>
        <v>0.10577339353047714</v>
      </c>
      <c r="AT251">
        <f t="shared" si="148"/>
        <v>5.79373186524937E-2</v>
      </c>
      <c r="AU251">
        <f t="shared" si="149"/>
        <v>0.16632042012541576</v>
      </c>
      <c r="AV251">
        <f t="shared" si="150"/>
        <v>-1.3523802996861707</v>
      </c>
      <c r="AW251">
        <f t="shared" si="151"/>
        <v>-1.7542181350762711</v>
      </c>
      <c r="AX251">
        <f t="shared" si="152"/>
        <v>-1.6482703346646654</v>
      </c>
      <c r="AY251">
        <f t="shared" si="153"/>
        <v>-1.1382023877560565</v>
      </c>
      <c r="AZ251">
        <f t="shared" si="154"/>
        <v>0.98373355661051787</v>
      </c>
      <c r="BA251">
        <f t="shared" si="155"/>
        <v>1.3201679445233738</v>
      </c>
      <c r="BB251">
        <f t="shared" si="156"/>
        <v>1.3340022458069658</v>
      </c>
      <c r="BC251">
        <f t="shared" si="157"/>
        <v>0.90227692441576712</v>
      </c>
      <c r="BD251" t="str">
        <f t="shared" si="158"/>
        <v>C02642</v>
      </c>
    </row>
    <row r="252" spans="1:56" x14ac:dyDescent="0.2">
      <c r="A252" t="s">
        <v>304</v>
      </c>
      <c r="B252">
        <v>758319.1875</v>
      </c>
      <c r="C252">
        <v>757402.25</v>
      </c>
      <c r="D252">
        <v>1355375.125</v>
      </c>
      <c r="E252">
        <v>588006.9375</v>
      </c>
      <c r="F252">
        <v>244415.0938</v>
      </c>
      <c r="G252">
        <v>171783.39060000001</v>
      </c>
      <c r="H252">
        <v>206217.5312</v>
      </c>
      <c r="I252">
        <v>270096.75</v>
      </c>
      <c r="J252">
        <v>1629206.5</v>
      </c>
      <c r="K252">
        <v>1342687.25</v>
      </c>
      <c r="L252">
        <v>2013473</v>
      </c>
      <c r="M252">
        <v>1706466.625</v>
      </c>
      <c r="N252">
        <v>306440.5625</v>
      </c>
      <c r="O252">
        <v>364767.3125</v>
      </c>
      <c r="P252">
        <v>455576.53120000003</v>
      </c>
      <c r="Q252">
        <v>675096.375</v>
      </c>
      <c r="R252" s="2" t="s">
        <v>305</v>
      </c>
      <c r="S252" s="4" t="s">
        <v>422</v>
      </c>
      <c r="T252">
        <f t="shared" si="123"/>
        <v>5.8798520449354568</v>
      </c>
      <c r="U252">
        <f t="shared" si="124"/>
        <v>5.8793265909368184</v>
      </c>
      <c r="V252">
        <f t="shared" si="125"/>
        <v>6.1320595108344991</v>
      </c>
      <c r="W252">
        <f t="shared" si="126"/>
        <v>5.7693824500560611</v>
      </c>
      <c r="X252">
        <f t="shared" si="127"/>
        <v>5.388128022158245</v>
      </c>
      <c r="Y252">
        <f t="shared" si="128"/>
        <v>5.2349811704412081</v>
      </c>
      <c r="Z252">
        <f t="shared" si="129"/>
        <v>5.3143255832548668</v>
      </c>
      <c r="AA252">
        <f t="shared" si="130"/>
        <v>5.431519358472686</v>
      </c>
      <c r="AB252">
        <f t="shared" si="131"/>
        <v>6.2119761341100697</v>
      </c>
      <c r="AC252">
        <f t="shared" si="132"/>
        <v>6.1279748649272356</v>
      </c>
      <c r="AD252">
        <f t="shared" si="133"/>
        <v>6.3039458102386421</v>
      </c>
      <c r="AE252">
        <f t="shared" si="134"/>
        <v>6.232097798785138</v>
      </c>
      <c r="AF252">
        <f t="shared" si="135"/>
        <v>5.4863462508560659</v>
      </c>
      <c r="AG252">
        <f t="shared" si="136"/>
        <v>5.5620159134367411</v>
      </c>
      <c r="AH252">
        <f t="shared" si="137"/>
        <v>5.6585613435175546</v>
      </c>
      <c r="AI252">
        <f t="shared" si="138"/>
        <v>5.8293657760058197</v>
      </c>
      <c r="AJ252" t="str">
        <f t="shared" si="139"/>
        <v>C00388</v>
      </c>
      <c r="AL252">
        <f t="shared" si="140"/>
        <v>5.777616163935444</v>
      </c>
      <c r="AM252">
        <f t="shared" si="141"/>
        <v>0.35310432217848586</v>
      </c>
      <c r="AN252">
        <f t="shared" si="142"/>
        <v>0.28953449328874253</v>
      </c>
      <c r="AO252">
        <f t="shared" si="143"/>
        <v>0.28804639482708522</v>
      </c>
      <c r="AP252">
        <f t="shared" si="144"/>
        <v>1.0037921504679073</v>
      </c>
      <c r="AQ252">
        <f t="shared" si="145"/>
        <v>-2.3318077299605888E-2</v>
      </c>
      <c r="AR252">
        <f t="shared" si="146"/>
        <v>-1.1030398590825572</v>
      </c>
      <c r="AS252">
        <f t="shared" si="147"/>
        <v>-1.5367554555731173</v>
      </c>
      <c r="AT252">
        <f t="shared" si="148"/>
        <v>-1.3120501550994743</v>
      </c>
      <c r="AU252">
        <f t="shared" si="149"/>
        <v>-0.98015454279207115</v>
      </c>
      <c r="AV252">
        <f t="shared" si="150"/>
        <v>1.2301179648406202</v>
      </c>
      <c r="AW252">
        <f t="shared" si="151"/>
        <v>0.99222433424276713</v>
      </c>
      <c r="AX252">
        <f t="shared" si="152"/>
        <v>1.4905783170707012</v>
      </c>
      <c r="AY252">
        <f t="shared" si="153"/>
        <v>1.2871030069690406</v>
      </c>
      <c r="AZ252">
        <f t="shared" si="154"/>
        <v>-0.82488345450540268</v>
      </c>
      <c r="BA252">
        <f t="shared" si="155"/>
        <v>-0.61058513577107132</v>
      </c>
      <c r="BB252">
        <f t="shared" si="156"/>
        <v>-0.33716613742753909</v>
      </c>
      <c r="BC252">
        <f t="shared" si="157"/>
        <v>0.14655615584398754</v>
      </c>
      <c r="BD252" t="str">
        <f t="shared" si="158"/>
        <v>C00388</v>
      </c>
    </row>
    <row r="253" spans="1:56" x14ac:dyDescent="0.2">
      <c r="A253" t="s">
        <v>306</v>
      </c>
      <c r="B253">
        <v>62048.058590000001</v>
      </c>
      <c r="C253">
        <v>37323.226560000003</v>
      </c>
      <c r="D253">
        <v>57098.828119999998</v>
      </c>
      <c r="E253">
        <v>57532.0625</v>
      </c>
      <c r="F253">
        <v>46217.984380000002</v>
      </c>
      <c r="G253">
        <v>28494.04883</v>
      </c>
      <c r="H253">
        <v>47884.976560000003</v>
      </c>
      <c r="I253">
        <v>31902.140619999998</v>
      </c>
      <c r="J253">
        <v>81821.695309999996</v>
      </c>
      <c r="K253">
        <v>40033.039060000003</v>
      </c>
      <c r="L253">
        <v>58394.902340000001</v>
      </c>
      <c r="M253">
        <v>45856.105470000002</v>
      </c>
      <c r="N253">
        <v>59752.03125</v>
      </c>
      <c r="O253">
        <v>40584.105470000002</v>
      </c>
      <c r="P253">
        <v>32839.875</v>
      </c>
      <c r="Q253">
        <v>30778.171880000002</v>
      </c>
      <c r="R253" s="2" t="s">
        <v>307</v>
      </c>
      <c r="S253" s="4" t="s">
        <v>422</v>
      </c>
      <c r="T253">
        <f t="shared" si="123"/>
        <v>4.7927281974892137</v>
      </c>
      <c r="U253">
        <f t="shared" si="124"/>
        <v>4.57197918107211</v>
      </c>
      <c r="V253">
        <f t="shared" si="125"/>
        <v>4.7566271950017134</v>
      </c>
      <c r="W253">
        <f t="shared" si="126"/>
        <v>4.759909943577262</v>
      </c>
      <c r="X253">
        <f t="shared" si="127"/>
        <v>4.6648110014691104</v>
      </c>
      <c r="Y253">
        <f t="shared" si="128"/>
        <v>4.45475416421292</v>
      </c>
      <c r="Z253">
        <f t="shared" si="129"/>
        <v>4.6801992791661657</v>
      </c>
      <c r="AA253">
        <f t="shared" si="130"/>
        <v>4.5038198250090078</v>
      </c>
      <c r="AB253">
        <f t="shared" si="131"/>
        <v>4.9128684736486727</v>
      </c>
      <c r="AC253">
        <f t="shared" si="132"/>
        <v>4.6024185602996992</v>
      </c>
      <c r="AD253">
        <f t="shared" si="133"/>
        <v>4.766374936457642</v>
      </c>
      <c r="AE253">
        <f t="shared" si="134"/>
        <v>4.6613971676047754</v>
      </c>
      <c r="AF253">
        <f t="shared" si="135"/>
        <v>4.7763526735644737</v>
      </c>
      <c r="AG253">
        <f t="shared" si="136"/>
        <v>4.6083559779555996</v>
      </c>
      <c r="AH253">
        <f t="shared" si="137"/>
        <v>4.5164014953745175</v>
      </c>
      <c r="AI253">
        <f t="shared" si="138"/>
        <v>4.488242820628451</v>
      </c>
      <c r="AJ253" t="str">
        <f t="shared" si="139"/>
        <v>C06231</v>
      </c>
      <c r="AL253">
        <f t="shared" si="140"/>
        <v>4.6573275557832092</v>
      </c>
      <c r="AM253">
        <f t="shared" si="141"/>
        <v>0.13074657707885545</v>
      </c>
      <c r="AN253">
        <f t="shared" si="142"/>
        <v>1.0355960724259887</v>
      </c>
      <c r="AO253">
        <f t="shared" si="143"/>
        <v>-0.65277712516805853</v>
      </c>
      <c r="AP253">
        <f t="shared" si="144"/>
        <v>0.75948175039882593</v>
      </c>
      <c r="AQ253">
        <f t="shared" si="145"/>
        <v>0.78458947137242196</v>
      </c>
      <c r="AR253">
        <f t="shared" si="146"/>
        <v>5.72362646357297E-2</v>
      </c>
      <c r="AS253">
        <f t="shared" si="147"/>
        <v>-1.5493590432437385</v>
      </c>
      <c r="AT253">
        <f t="shared" si="148"/>
        <v>0.17493171824423512</v>
      </c>
      <c r="AU253">
        <f t="shared" si="149"/>
        <v>-1.1740860388384649</v>
      </c>
      <c r="AV253">
        <f t="shared" si="150"/>
        <v>1.9544750124612631</v>
      </c>
      <c r="AW253">
        <f t="shared" si="151"/>
        <v>-0.41996507067556721</v>
      </c>
      <c r="AX253">
        <f t="shared" si="152"/>
        <v>0.83403621808519279</v>
      </c>
      <c r="AY253">
        <f t="shared" si="153"/>
        <v>3.1125953065002428E-2</v>
      </c>
      <c r="AZ253">
        <f t="shared" si="154"/>
        <v>0.91034978077841699</v>
      </c>
      <c r="BA253">
        <f t="shared" si="155"/>
        <v>-0.37455342175477419</v>
      </c>
      <c r="BB253">
        <f t="shared" si="156"/>
        <v>-1.0778565952338228</v>
      </c>
      <c r="BC253">
        <f t="shared" si="157"/>
        <v>-1.2932249465527526</v>
      </c>
      <c r="BD253" t="str">
        <f t="shared" si="158"/>
        <v>C06231</v>
      </c>
    </row>
    <row r="254" spans="1:56" x14ac:dyDescent="0.2">
      <c r="A254" t="s">
        <v>169</v>
      </c>
      <c r="B254">
        <v>1592533.375</v>
      </c>
      <c r="C254">
        <v>484176.84379999997</v>
      </c>
      <c r="D254">
        <v>2521266</v>
      </c>
      <c r="E254">
        <v>1083760.25</v>
      </c>
      <c r="F254">
        <v>1355375.125</v>
      </c>
      <c r="G254">
        <v>485229.75</v>
      </c>
      <c r="H254">
        <v>713211.6875</v>
      </c>
      <c r="I254">
        <v>714385.375</v>
      </c>
      <c r="J254">
        <v>1864658.875</v>
      </c>
      <c r="K254">
        <v>1392704.5</v>
      </c>
      <c r="L254">
        <v>1609200.25</v>
      </c>
      <c r="M254">
        <v>2077380.5</v>
      </c>
      <c r="N254">
        <v>3424427.25</v>
      </c>
      <c r="O254">
        <v>1883190.5</v>
      </c>
      <c r="P254">
        <v>3411048.25</v>
      </c>
      <c r="Q254">
        <v>3649923.75</v>
      </c>
      <c r="R254" s="2" t="s">
        <v>170</v>
      </c>
      <c r="S254" s="4" t="s">
        <v>422</v>
      </c>
      <c r="T254">
        <f t="shared" si="123"/>
        <v>6.2020885426880472</v>
      </c>
      <c r="U254">
        <f t="shared" si="124"/>
        <v>5.6850040150719234</v>
      </c>
      <c r="V254">
        <f t="shared" si="125"/>
        <v>6.4016186672702666</v>
      </c>
      <c r="W254">
        <f t="shared" si="126"/>
        <v>6.0349332179789732</v>
      </c>
      <c r="X254">
        <f t="shared" si="127"/>
        <v>6.1320595108344991</v>
      </c>
      <c r="Y254">
        <f t="shared" si="128"/>
        <v>5.6859474201103444</v>
      </c>
      <c r="Z254">
        <f t="shared" si="129"/>
        <v>5.8532184514062449</v>
      </c>
      <c r="AA254">
        <f t="shared" si="130"/>
        <v>5.8539325550324888</v>
      </c>
      <c r="AB254">
        <f t="shared" si="131"/>
        <v>6.2705993925759955</v>
      </c>
      <c r="AC254">
        <f t="shared" si="132"/>
        <v>6.1438589788552562</v>
      </c>
      <c r="AD254">
        <f t="shared" si="133"/>
        <v>6.2066100913697753</v>
      </c>
      <c r="AE254">
        <f t="shared" si="134"/>
        <v>6.3175160506591501</v>
      </c>
      <c r="AF254">
        <f t="shared" si="135"/>
        <v>6.5345879443058337</v>
      </c>
      <c r="AG254">
        <f t="shared" si="136"/>
        <v>6.2748942546497499</v>
      </c>
      <c r="AH254">
        <f t="shared" si="137"/>
        <v>6.5328878626382814</v>
      </c>
      <c r="AI254">
        <f t="shared" si="138"/>
        <v>6.5622837917715042</v>
      </c>
      <c r="AJ254" t="str">
        <f t="shared" si="139"/>
        <v>C00860</v>
      </c>
      <c r="AL254">
        <f t="shared" si="140"/>
        <v>6.1682525467011446</v>
      </c>
      <c r="AM254">
        <f t="shared" si="141"/>
        <v>0.28372450815544914</v>
      </c>
      <c r="AN254">
        <f t="shared" si="142"/>
        <v>0.11925651473282049</v>
      </c>
      <c r="AO254">
        <f t="shared" si="143"/>
        <v>-1.703231542353949</v>
      </c>
      <c r="AP254">
        <f t="shared" si="144"/>
        <v>0.82250956072241588</v>
      </c>
      <c r="AQ254">
        <f t="shared" si="145"/>
        <v>-0.46989006902825414</v>
      </c>
      <c r="AR254">
        <f t="shared" si="146"/>
        <v>-0.12756400954554076</v>
      </c>
      <c r="AS254">
        <f t="shared" si="147"/>
        <v>-1.6999064681664768</v>
      </c>
      <c r="AT254">
        <f t="shared" si="148"/>
        <v>-1.1103520712503854</v>
      </c>
      <c r="AU254">
        <f t="shared" si="149"/>
        <v>-1.1078351803730817</v>
      </c>
      <c r="AV254">
        <f t="shared" si="150"/>
        <v>0.36072613726684588</v>
      </c>
      <c r="AW254">
        <f t="shared" si="151"/>
        <v>-8.5976245071234692E-2</v>
      </c>
      <c r="AX254">
        <f t="shared" si="152"/>
        <v>0.13519291977277831</v>
      </c>
      <c r="AY254">
        <f t="shared" si="153"/>
        <v>0.52608604356528077</v>
      </c>
      <c r="AZ254">
        <f t="shared" si="154"/>
        <v>1.2911658565779534</v>
      </c>
      <c r="BA254">
        <f t="shared" si="155"/>
        <v>0.37586357499359063</v>
      </c>
      <c r="BB254">
        <f t="shared" si="156"/>
        <v>1.2851738410181948</v>
      </c>
      <c r="BC254">
        <f t="shared" si="157"/>
        <v>1.3887811371391108</v>
      </c>
      <c r="BD254" t="str">
        <f t="shared" si="158"/>
        <v>C00860</v>
      </c>
    </row>
    <row r="255" spans="1:56" x14ac:dyDescent="0.2">
      <c r="A255" t="s">
        <v>174</v>
      </c>
      <c r="B255">
        <v>15936.66113</v>
      </c>
      <c r="C255">
        <v>26249.589840000001</v>
      </c>
      <c r="D255">
        <v>30392.261719999999</v>
      </c>
      <c r="E255">
        <v>24356.248049999998</v>
      </c>
      <c r="F255">
        <v>51597</v>
      </c>
      <c r="G255">
        <v>36704.917970000002</v>
      </c>
      <c r="H255">
        <v>36477.8125</v>
      </c>
      <c r="I255">
        <v>33145.152340000001</v>
      </c>
      <c r="N255">
        <v>62000.292970000002</v>
      </c>
      <c r="O255">
        <v>79875.875</v>
      </c>
      <c r="P255">
        <v>84198</v>
      </c>
      <c r="Q255">
        <v>22449.025389999999</v>
      </c>
      <c r="R255" s="2"/>
      <c r="S255" s="4" t="s">
        <v>422</v>
      </c>
      <c r="T255">
        <f t="shared" si="123"/>
        <v>4.202397338094876</v>
      </c>
      <c r="U255">
        <f t="shared" si="124"/>
        <v>4.4191225217756376</v>
      </c>
      <c r="V255">
        <f t="shared" si="125"/>
        <v>4.4827630204473747</v>
      </c>
      <c r="W255">
        <f t="shared" si="126"/>
        <v>4.3866103883664591</v>
      </c>
      <c r="X255">
        <f t="shared" si="127"/>
        <v>4.7126244512140003</v>
      </c>
      <c r="Y255">
        <f t="shared" si="128"/>
        <v>4.5647242578253655</v>
      </c>
      <c r="Z255">
        <f t="shared" si="129"/>
        <v>4.5620287866831344</v>
      </c>
      <c r="AA255">
        <f t="shared" si="130"/>
        <v>4.5204200194395145</v>
      </c>
      <c r="AB255" t="e">
        <f t="shared" si="131"/>
        <v>#NUM!</v>
      </c>
      <c r="AC255" t="e">
        <f t="shared" si="132"/>
        <v>#NUM!</v>
      </c>
      <c r="AD255" t="e">
        <f t="shared" si="133"/>
        <v>#NUM!</v>
      </c>
      <c r="AE255" t="e">
        <f t="shared" si="134"/>
        <v>#NUM!</v>
      </c>
      <c r="AF255">
        <f t="shared" si="135"/>
        <v>4.7923937416749274</v>
      </c>
      <c r="AG255">
        <f t="shared" si="136"/>
        <v>4.9024156286699343</v>
      </c>
      <c r="AH255">
        <f t="shared" si="137"/>
        <v>4.9253017755937138</v>
      </c>
      <c r="AI255">
        <f t="shared" si="138"/>
        <v>4.3511974911329805</v>
      </c>
      <c r="AJ255">
        <f t="shared" si="139"/>
        <v>0</v>
      </c>
      <c r="AL255" t="e">
        <f t="shared" si="140"/>
        <v>#NUM!</v>
      </c>
      <c r="AM255" t="e">
        <f t="shared" si="141"/>
        <v>#NUM!</v>
      </c>
      <c r="AN255" t="e">
        <f t="shared" si="142"/>
        <v>#NUM!</v>
      </c>
      <c r="AO255" t="e">
        <f t="shared" si="143"/>
        <v>#NUM!</v>
      </c>
      <c r="AP255" t="e">
        <f t="shared" si="144"/>
        <v>#NUM!</v>
      </c>
      <c r="AQ255" t="e">
        <f t="shared" si="145"/>
        <v>#NUM!</v>
      </c>
      <c r="AR255" t="e">
        <f t="shared" si="146"/>
        <v>#NUM!</v>
      </c>
      <c r="AS255" t="e">
        <f t="shared" si="147"/>
        <v>#NUM!</v>
      </c>
      <c r="AT255" t="e">
        <f t="shared" si="148"/>
        <v>#NUM!</v>
      </c>
      <c r="AU255" t="e">
        <f t="shared" si="149"/>
        <v>#NUM!</v>
      </c>
      <c r="AV255" t="e">
        <f t="shared" si="150"/>
        <v>#NUM!</v>
      </c>
      <c r="AW255" t="e">
        <f t="shared" si="151"/>
        <v>#NUM!</v>
      </c>
      <c r="AX255" t="e">
        <f t="shared" si="152"/>
        <v>#NUM!</v>
      </c>
      <c r="AY255" t="e">
        <f t="shared" si="153"/>
        <v>#NUM!</v>
      </c>
      <c r="AZ255" t="e">
        <f t="shared" si="154"/>
        <v>#NUM!</v>
      </c>
      <c r="BA255" t="e">
        <f t="shared" si="155"/>
        <v>#NUM!</v>
      </c>
      <c r="BB255" t="e">
        <f t="shared" si="156"/>
        <v>#NUM!</v>
      </c>
      <c r="BC255" t="e">
        <f t="shared" si="157"/>
        <v>#NUM!</v>
      </c>
      <c r="BD255">
        <f t="shared" si="158"/>
        <v>0</v>
      </c>
    </row>
    <row r="256" spans="1:56" x14ac:dyDescent="0.2">
      <c r="A256" t="s">
        <v>174</v>
      </c>
      <c r="B256">
        <v>34838.191409999999</v>
      </c>
      <c r="C256">
        <v>39031.136720000002</v>
      </c>
      <c r="D256">
        <v>26714.675780000001</v>
      </c>
      <c r="E256">
        <v>33416.390619999998</v>
      </c>
      <c r="F256">
        <v>28961.574219999999</v>
      </c>
      <c r="G256">
        <v>29026.414059999999</v>
      </c>
      <c r="H256">
        <v>25996.210940000001</v>
      </c>
      <c r="I256">
        <v>37185.230470000002</v>
      </c>
      <c r="N256">
        <v>19320.98633</v>
      </c>
      <c r="O256">
        <v>23302.246090000001</v>
      </c>
      <c r="P256">
        <v>29146.417969999999</v>
      </c>
      <c r="Q256">
        <v>22315.646479999999</v>
      </c>
      <c r="R256" s="2"/>
      <c r="S256" s="4" t="s">
        <v>422</v>
      </c>
      <c r="T256">
        <f t="shared" si="123"/>
        <v>4.5420556009554627</v>
      </c>
      <c r="U256">
        <f t="shared" si="124"/>
        <v>4.5914111996039413</v>
      </c>
      <c r="V256">
        <f t="shared" si="125"/>
        <v>4.4267499077792145</v>
      </c>
      <c r="W256">
        <f t="shared" si="126"/>
        <v>4.5239595389604101</v>
      </c>
      <c r="X256">
        <f t="shared" si="127"/>
        <v>4.4618221644476996</v>
      </c>
      <c r="Y256">
        <f t="shared" si="128"/>
        <v>4.4627933861538001</v>
      </c>
      <c r="Z256">
        <f t="shared" si="129"/>
        <v>4.4149100522874303</v>
      </c>
      <c r="AA256">
        <f t="shared" si="130"/>
        <v>4.5703704775416432</v>
      </c>
      <c r="AB256" t="e">
        <f t="shared" si="131"/>
        <v>#NUM!</v>
      </c>
      <c r="AC256" t="e">
        <f t="shared" si="132"/>
        <v>#NUM!</v>
      </c>
      <c r="AD256" t="e">
        <f t="shared" si="133"/>
        <v>#NUM!</v>
      </c>
      <c r="AE256" t="e">
        <f t="shared" si="134"/>
        <v>#NUM!</v>
      </c>
      <c r="AF256">
        <f t="shared" si="135"/>
        <v>4.286029293235913</v>
      </c>
      <c r="AG256">
        <f t="shared" si="136"/>
        <v>4.3673977844371397</v>
      </c>
      <c r="AH256">
        <f t="shared" si="137"/>
        <v>4.4645851885477796</v>
      </c>
      <c r="AI256">
        <f t="shared" si="138"/>
        <v>4.3486094727866673</v>
      </c>
      <c r="AJ256">
        <f t="shared" si="139"/>
        <v>0</v>
      </c>
      <c r="AL256" t="e">
        <f t="shared" si="140"/>
        <v>#NUM!</v>
      </c>
      <c r="AM256" t="e">
        <f t="shared" si="141"/>
        <v>#NUM!</v>
      </c>
      <c r="AN256" t="e">
        <f t="shared" si="142"/>
        <v>#NUM!</v>
      </c>
      <c r="AO256" t="e">
        <f t="shared" si="143"/>
        <v>#NUM!</v>
      </c>
      <c r="AP256" t="e">
        <f t="shared" si="144"/>
        <v>#NUM!</v>
      </c>
      <c r="AQ256" t="e">
        <f t="shared" si="145"/>
        <v>#NUM!</v>
      </c>
      <c r="AR256" t="e">
        <f t="shared" si="146"/>
        <v>#NUM!</v>
      </c>
      <c r="AS256" t="e">
        <f t="shared" si="147"/>
        <v>#NUM!</v>
      </c>
      <c r="AT256" t="e">
        <f t="shared" si="148"/>
        <v>#NUM!</v>
      </c>
      <c r="AU256" t="e">
        <f t="shared" si="149"/>
        <v>#NUM!</v>
      </c>
      <c r="AV256" t="e">
        <f t="shared" si="150"/>
        <v>#NUM!</v>
      </c>
      <c r="AW256" t="e">
        <f t="shared" si="151"/>
        <v>#NUM!</v>
      </c>
      <c r="AX256" t="e">
        <f t="shared" si="152"/>
        <v>#NUM!</v>
      </c>
      <c r="AY256" t="e">
        <f t="shared" si="153"/>
        <v>#NUM!</v>
      </c>
      <c r="AZ256" t="e">
        <f t="shared" si="154"/>
        <v>#NUM!</v>
      </c>
      <c r="BA256" t="e">
        <f t="shared" si="155"/>
        <v>#NUM!</v>
      </c>
      <c r="BB256" t="e">
        <f t="shared" si="156"/>
        <v>#NUM!</v>
      </c>
      <c r="BC256" t="e">
        <f t="shared" si="157"/>
        <v>#NUM!</v>
      </c>
      <c r="BD256">
        <f t="shared" si="158"/>
        <v>0</v>
      </c>
    </row>
    <row r="257" spans="1:56" x14ac:dyDescent="0.2">
      <c r="A257" t="s">
        <v>175</v>
      </c>
      <c r="B257">
        <v>258568960</v>
      </c>
      <c r="C257">
        <v>221127152</v>
      </c>
      <c r="D257">
        <v>125530552</v>
      </c>
      <c r="E257">
        <v>167702432</v>
      </c>
      <c r="F257">
        <v>233307984</v>
      </c>
      <c r="G257">
        <v>178025648</v>
      </c>
      <c r="H257">
        <v>190836544</v>
      </c>
      <c r="I257">
        <v>185879472</v>
      </c>
      <c r="J257">
        <v>18068584</v>
      </c>
      <c r="K257">
        <v>10842092</v>
      </c>
      <c r="L257">
        <v>14899438</v>
      </c>
      <c r="M257">
        <v>21171766</v>
      </c>
      <c r="N257">
        <v>43098660</v>
      </c>
      <c r="O257">
        <v>56763884</v>
      </c>
      <c r="P257">
        <v>47836920</v>
      </c>
      <c r="Q257">
        <v>37985600</v>
      </c>
      <c r="R257" s="2" t="s">
        <v>388</v>
      </c>
      <c r="S257" s="4" t="s">
        <v>422</v>
      </c>
      <c r="T257">
        <f t="shared" si="123"/>
        <v>8.4125763886425133</v>
      </c>
      <c r="U257">
        <f t="shared" si="124"/>
        <v>8.3446420724736967</v>
      </c>
      <c r="V257">
        <f t="shared" si="125"/>
        <v>8.0987494385677241</v>
      </c>
      <c r="W257">
        <f t="shared" si="126"/>
        <v>8.224539360736804</v>
      </c>
      <c r="X257">
        <f t="shared" si="127"/>
        <v>8.3679296009789823</v>
      </c>
      <c r="Y257">
        <f t="shared" si="128"/>
        <v>8.2504825752440389</v>
      </c>
      <c r="Z257">
        <f t="shared" si="129"/>
        <v>8.280661542998395</v>
      </c>
      <c r="AA257">
        <f t="shared" si="130"/>
        <v>8.2692314301732388</v>
      </c>
      <c r="AB257">
        <f t="shared" si="131"/>
        <v>7.2569241190754648</v>
      </c>
      <c r="AC257">
        <f t="shared" si="132"/>
        <v>7.0351130881431381</v>
      </c>
      <c r="AD257">
        <f t="shared" si="133"/>
        <v>7.173169887331607</v>
      </c>
      <c r="AE257">
        <f t="shared" si="134"/>
        <v>7.3257570853253533</v>
      </c>
      <c r="AF257">
        <f t="shared" si="135"/>
        <v>7.6344637675237808</v>
      </c>
      <c r="AG257">
        <f t="shared" si="136"/>
        <v>7.7540721038759539</v>
      </c>
      <c r="AH257">
        <f t="shared" si="137"/>
        <v>7.6797632096495603</v>
      </c>
      <c r="AI257">
        <f t="shared" si="138"/>
        <v>7.5796189906753089</v>
      </c>
      <c r="AJ257" t="str">
        <f t="shared" si="139"/>
        <v>C01157</v>
      </c>
      <c r="AL257">
        <f t="shared" si="140"/>
        <v>7.8554809163384736</v>
      </c>
      <c r="AM257">
        <f t="shared" si="141"/>
        <v>0.48021896821214538</v>
      </c>
      <c r="AN257">
        <f t="shared" si="142"/>
        <v>1.1600863547271061</v>
      </c>
      <c r="AO257">
        <f t="shared" si="143"/>
        <v>1.01862106354601</v>
      </c>
      <c r="AP257">
        <f t="shared" si="144"/>
        <v>0.50657832849655848</v>
      </c>
      <c r="AQ257">
        <f t="shared" si="145"/>
        <v>0.76852117227342054</v>
      </c>
      <c r="AR257">
        <f t="shared" si="146"/>
        <v>1.0671146259556439</v>
      </c>
      <c r="AS257">
        <f t="shared" si="147"/>
        <v>0.82254489108615614</v>
      </c>
      <c r="AT257">
        <f t="shared" si="148"/>
        <v>0.8853890720786568</v>
      </c>
      <c r="AU257">
        <f t="shared" si="149"/>
        <v>0.86158719505636749</v>
      </c>
      <c r="AV257">
        <f t="shared" si="150"/>
        <v>-1.2464247288928112</v>
      </c>
      <c r="AW257">
        <f t="shared" si="151"/>
        <v>-1.7083203340542001</v>
      </c>
      <c r="AX257">
        <f t="shared" si="152"/>
        <v>-1.4208331494008029</v>
      </c>
      <c r="AY257">
        <f t="shared" si="153"/>
        <v>-1.1030881037150229</v>
      </c>
      <c r="AZ257">
        <f t="shared" si="154"/>
        <v>-0.4602424382309166</v>
      </c>
      <c r="BA257">
        <f t="shared" si="155"/>
        <v>-0.21117202604483645</v>
      </c>
      <c r="BB257">
        <f t="shared" si="156"/>
        <v>-0.3659116326518923</v>
      </c>
      <c r="BC257">
        <f t="shared" si="157"/>
        <v>-0.57445029022947236</v>
      </c>
      <c r="BD257" t="str">
        <f t="shared" si="158"/>
        <v>C01157</v>
      </c>
    </row>
    <row r="258" spans="1:56" x14ac:dyDescent="0.2">
      <c r="A258" t="s">
        <v>308</v>
      </c>
      <c r="B258">
        <v>33359450</v>
      </c>
      <c r="C258">
        <v>28276118</v>
      </c>
      <c r="D258">
        <v>24898516</v>
      </c>
      <c r="E258">
        <v>12848088</v>
      </c>
      <c r="F258">
        <v>8963170</v>
      </c>
      <c r="G258">
        <v>5933668.5</v>
      </c>
      <c r="H258">
        <v>5903945.5</v>
      </c>
      <c r="I258">
        <v>5749997</v>
      </c>
      <c r="J258">
        <v>1381149</v>
      </c>
      <c r="K258">
        <v>808574.8125</v>
      </c>
      <c r="L258">
        <v>889767.0625</v>
      </c>
      <c r="M258">
        <v>1189902.5</v>
      </c>
      <c r="N258">
        <v>1262700.375</v>
      </c>
      <c r="O258">
        <v>1338865.75</v>
      </c>
      <c r="P258">
        <v>1226234.125</v>
      </c>
      <c r="Q258">
        <v>1093617.625</v>
      </c>
      <c r="R258" s="2" t="s">
        <v>408</v>
      </c>
      <c r="S258" s="4" t="s">
        <v>422</v>
      </c>
      <c r="T258">
        <f t="shared" si="123"/>
        <v>7.5232188817758301</v>
      </c>
      <c r="U258">
        <f t="shared" si="124"/>
        <v>7.4514197853616597</v>
      </c>
      <c r="V258">
        <f t="shared" si="125"/>
        <v>7.3961734630709461</v>
      </c>
      <c r="W258">
        <f t="shared" si="126"/>
        <v>7.1088385025441578</v>
      </c>
      <c r="X258">
        <f t="shared" si="127"/>
        <v>6.9524616335491931</v>
      </c>
      <c r="Y258">
        <f t="shared" si="128"/>
        <v>6.7733232796548597</v>
      </c>
      <c r="Z258">
        <f t="shared" si="129"/>
        <v>6.7711423398111723</v>
      </c>
      <c r="AA258">
        <f t="shared" si="130"/>
        <v>6.7596676181011457</v>
      </c>
      <c r="AB258">
        <f t="shared" si="131"/>
        <v>6.1402405333122942</v>
      </c>
      <c r="AC258">
        <f t="shared" si="132"/>
        <v>5.9077202087233101</v>
      </c>
      <c r="AD258">
        <f t="shared" si="133"/>
        <v>5.9492763249462373</v>
      </c>
      <c r="AE258">
        <f t="shared" si="134"/>
        <v>6.0755113769834974</v>
      </c>
      <c r="AF258">
        <f t="shared" si="135"/>
        <v>6.1013003094455946</v>
      </c>
      <c r="AG258">
        <f t="shared" si="136"/>
        <v>6.1267370318609915</v>
      </c>
      <c r="AH258">
        <f t="shared" si="137"/>
        <v>6.0885733979867585</v>
      </c>
      <c r="AI258">
        <f t="shared" si="138"/>
        <v>6.0388655008086349</v>
      </c>
      <c r="AJ258" t="str">
        <f t="shared" si="139"/>
        <v>C00487</v>
      </c>
      <c r="AL258">
        <f t="shared" si="140"/>
        <v>6.5727793867460189</v>
      </c>
      <c r="AM258">
        <f t="shared" si="141"/>
        <v>0.58341087805405012</v>
      </c>
      <c r="AN258">
        <f t="shared" si="142"/>
        <v>1.6291082850562784</v>
      </c>
      <c r="AO258">
        <f t="shared" si="143"/>
        <v>1.5060404796467288</v>
      </c>
      <c r="AP258">
        <f t="shared" si="144"/>
        <v>1.4113450867960056</v>
      </c>
      <c r="AQ258">
        <f t="shared" si="145"/>
        <v>0.91883633981277202</v>
      </c>
      <c r="AR258">
        <f t="shared" si="146"/>
        <v>0.65079733869480327</v>
      </c>
      <c r="AS258">
        <f t="shared" si="147"/>
        <v>0.34374383552420046</v>
      </c>
      <c r="AT258">
        <f t="shared" si="148"/>
        <v>0.34000557844719526</v>
      </c>
      <c r="AU258">
        <f t="shared" si="149"/>
        <v>0.32033724153119497</v>
      </c>
      <c r="AV258">
        <f t="shared" si="150"/>
        <v>-0.74139662063972023</v>
      </c>
      <c r="AW258">
        <f t="shared" si="151"/>
        <v>-1.1399499101576478</v>
      </c>
      <c r="AX258">
        <f t="shared" si="152"/>
        <v>-1.0687203225957285</v>
      </c>
      <c r="AY258">
        <f t="shared" si="153"/>
        <v>-0.85234613968999751</v>
      </c>
      <c r="AZ258">
        <f t="shared" si="154"/>
        <v>-0.80814241735263648</v>
      </c>
      <c r="BA258">
        <f t="shared" si="155"/>
        <v>-0.7645424034135061</v>
      </c>
      <c r="BB258">
        <f t="shared" si="156"/>
        <v>-0.82995707994735257</v>
      </c>
      <c r="BC258">
        <f t="shared" si="157"/>
        <v>-0.915159291712623</v>
      </c>
      <c r="BD258" t="str">
        <f t="shared" si="158"/>
        <v>C00487</v>
      </c>
    </row>
    <row r="259" spans="1:56" x14ac:dyDescent="0.2">
      <c r="A259" t="s">
        <v>309</v>
      </c>
      <c r="B259">
        <v>13966958</v>
      </c>
      <c r="C259">
        <v>20930458</v>
      </c>
      <c r="D259">
        <v>13800269</v>
      </c>
      <c r="E259">
        <v>7427848</v>
      </c>
      <c r="F259">
        <v>11566281</v>
      </c>
      <c r="G259">
        <v>8806415</v>
      </c>
      <c r="H259">
        <v>10070094</v>
      </c>
      <c r="I259">
        <v>9982647</v>
      </c>
      <c r="J259">
        <v>1508297.25</v>
      </c>
      <c r="K259">
        <v>1050927.375</v>
      </c>
      <c r="L259">
        <v>1315240</v>
      </c>
      <c r="M259">
        <v>1837128</v>
      </c>
      <c r="N259">
        <v>1822689.75</v>
      </c>
      <c r="O259">
        <v>2081096.375</v>
      </c>
      <c r="P259">
        <v>2050157.625</v>
      </c>
      <c r="Q259">
        <v>1656377</v>
      </c>
      <c r="R259" s="2"/>
      <c r="S259" s="4" t="s">
        <v>422</v>
      </c>
      <c r="T259">
        <f t="shared" ref="T259:T322" si="159">LOG10(B259)</f>
        <v>7.1451018271826339</v>
      </c>
      <c r="U259">
        <f t="shared" ref="U259:U322" si="160">LOG10(C259)</f>
        <v>7.320778731668665</v>
      </c>
      <c r="V259">
        <f t="shared" ref="V259:V322" si="161">LOG10(D259)</f>
        <v>7.1398875519140645</v>
      </c>
      <c r="W259">
        <f t="shared" ref="W259:W322" si="162">LOG10(E259)</f>
        <v>6.8708630079599518</v>
      </c>
      <c r="X259">
        <f t="shared" ref="X259:X322" si="163">LOG10(F259)</f>
        <v>7.0631937391751647</v>
      </c>
      <c r="Y259">
        <f t="shared" ref="Y259:Y322" si="164">LOG10(G259)</f>
        <v>6.9447991476194444</v>
      </c>
      <c r="Z259">
        <f t="shared" ref="Z259:Z322" si="165">LOG10(H259)</f>
        <v>7.0030335245248949</v>
      </c>
      <c r="AA259">
        <f t="shared" ref="AA259:AA322" si="166">LOG10(I259)</f>
        <v>6.9992457141399829</v>
      </c>
      <c r="AB259">
        <f t="shared" ref="AB259:AB322" si="167">LOG10(J259)</f>
        <v>6.1784869392215587</v>
      </c>
      <c r="AC259">
        <f t="shared" ref="AC259:AC322" si="168">LOG10(K259)</f>
        <v>6.0215727048707341</v>
      </c>
      <c r="AD259">
        <f t="shared" ref="AD259:AD322" si="169">LOG10(L259)</f>
        <v>6.1190050084647645</v>
      </c>
      <c r="AE259">
        <f t="shared" ref="AE259:AE322" si="170">LOG10(M259)</f>
        <v>6.26413941638042</v>
      </c>
      <c r="AF259">
        <f t="shared" ref="AF259:AF322" si="171">LOG10(N259)</f>
        <v>6.2607127513045846</v>
      </c>
      <c r="AG259">
        <f t="shared" ref="AG259:AG322" si="172">LOG10(O259)</f>
        <v>6.3182921927351874</v>
      </c>
      <c r="AH259">
        <f t="shared" ref="AH259:AH322" si="173">LOG10(P259)</f>
        <v>6.3117872527806611</v>
      </c>
      <c r="AI259">
        <f t="shared" ref="AI259:AI322" si="174">LOG10(Q259)</f>
        <v>6.2191591913772895</v>
      </c>
      <c r="AJ259">
        <f t="shared" ref="AJ259:AJ322" si="175">R259</f>
        <v>0</v>
      </c>
      <c r="AL259">
        <f t="shared" ref="AL259:AL322" si="176">AVERAGE(T259:AI259)</f>
        <v>6.6362536688324987</v>
      </c>
      <c r="AM259">
        <f t="shared" ref="AM259:AM322" si="177">STDEV(T259:AI259)</f>
        <v>0.45421973116967829</v>
      </c>
      <c r="AN259">
        <f t="shared" ref="AN259:AN322" si="178">(T259-$AL259)/$AM259</f>
        <v>1.1202687233330468</v>
      </c>
      <c r="AO259">
        <f t="shared" ref="AO259:AO322" si="179">(U259-$AL259)/$AM259</f>
        <v>1.5070350666480739</v>
      </c>
      <c r="AP259">
        <f t="shared" ref="AP259:AP322" si="180">(V259-$AL259)/$AM259</f>
        <v>1.1087890915364671</v>
      </c>
      <c r="AQ259">
        <f t="shared" ref="AQ259:AQ322" si="181">(W259-$AL259)/$AM259</f>
        <v>0.51651067320061539</v>
      </c>
      <c r="AR259">
        <f t="shared" ref="AR259:AR322" si="182">(X259-$AL259)/$AM259</f>
        <v>0.93994170892408524</v>
      </c>
      <c r="AS259">
        <f t="shared" ref="AS259:AS322" si="183">(Y259-$AL259)/$AM259</f>
        <v>0.67928682444595412</v>
      </c>
      <c r="AT259">
        <f t="shared" ref="AT259:AT322" si="184">(Z259-$AL259)/$AM259</f>
        <v>0.80749432603442317</v>
      </c>
      <c r="AU259">
        <f t="shared" ref="AU259:AU322" si="185">(AA259-$AL259)/$AM259</f>
        <v>0.79915516741804615</v>
      </c>
      <c r="AV259">
        <f t="shared" ref="AV259:AV322" si="186">(AB259-$AL259)/$AM259</f>
        <v>-1.0078089924278009</v>
      </c>
      <c r="AW259">
        <f t="shared" ref="AW259:AW322" si="187">(AC259-$AL259)/$AM259</f>
        <v>-1.3532678608630155</v>
      </c>
      <c r="AX259">
        <f t="shared" ref="AX259:AX322" si="188">(AD259-$AL259)/$AM259</f>
        <v>-1.1387630806696745</v>
      </c>
      <c r="AY259">
        <f t="shared" ref="AY259:AY322" si="189">(AE259-$AL259)/$AM259</f>
        <v>-0.81923841461891855</v>
      </c>
      <c r="AZ259">
        <f t="shared" ref="AZ259:AZ322" si="190">(AF259-$AL259)/$AM259</f>
        <v>-0.8267824838010549</v>
      </c>
      <c r="BA259">
        <f t="shared" ref="BA259:BA322" si="191">(AG259-$AL259)/$AM259</f>
        <v>-0.70001687350418873</v>
      </c>
      <c r="BB259">
        <f t="shared" ref="BB259:BB322" si="192">(AH259-$AL259)/$AM259</f>
        <v>-0.71433800380333967</v>
      </c>
      <c r="BC259">
        <f t="shared" ref="BC259:BC322" si="193">(AI259-$AL259)/$AM259</f>
        <v>-0.91826587185266828</v>
      </c>
      <c r="BD259">
        <f t="shared" ref="BD259:BD322" si="194">AJ259</f>
        <v>0</v>
      </c>
    </row>
    <row r="260" spans="1:56" x14ac:dyDescent="0.2">
      <c r="A260" t="s">
        <v>310</v>
      </c>
      <c r="B260">
        <v>3126204.25</v>
      </c>
      <c r="C260">
        <v>2876131.25</v>
      </c>
      <c r="D260">
        <v>4411515.5</v>
      </c>
      <c r="E260">
        <v>931129.75</v>
      </c>
      <c r="F260">
        <v>1556465.625</v>
      </c>
      <c r="G260">
        <v>1183909.5</v>
      </c>
      <c r="H260">
        <v>1055868.375</v>
      </c>
      <c r="I260">
        <v>973017.9375</v>
      </c>
      <c r="J260">
        <v>795451.375</v>
      </c>
      <c r="K260">
        <v>347649.09379999997</v>
      </c>
      <c r="L260">
        <v>455483.71879999997</v>
      </c>
      <c r="M260">
        <v>451925.1875</v>
      </c>
      <c r="N260">
        <v>388070.75</v>
      </c>
      <c r="O260">
        <v>366688.46879999997</v>
      </c>
      <c r="P260">
        <v>287795.46879999997</v>
      </c>
      <c r="Q260">
        <v>395539.6875</v>
      </c>
      <c r="R260" s="2"/>
      <c r="S260" s="4" t="s">
        <v>422</v>
      </c>
      <c r="T260">
        <f t="shared" si="159"/>
        <v>6.4950173491630512</v>
      </c>
      <c r="U260">
        <f t="shared" si="160"/>
        <v>6.4588087008520576</v>
      </c>
      <c r="V260">
        <f t="shared" si="161"/>
        <v>6.6445878094729043</v>
      </c>
      <c r="W260">
        <f t="shared" si="162"/>
        <v>5.9690102027673442</v>
      </c>
      <c r="X260">
        <f t="shared" si="163"/>
        <v>6.1921395336033918</v>
      </c>
      <c r="Y260">
        <f t="shared" si="164"/>
        <v>6.0733185054673129</v>
      </c>
      <c r="Z260">
        <f t="shared" si="165"/>
        <v>6.023609782237493</v>
      </c>
      <c r="AA260">
        <f t="shared" si="166"/>
        <v>5.9881208465226825</v>
      </c>
      <c r="AB260">
        <f t="shared" si="167"/>
        <v>5.9006136368869182</v>
      </c>
      <c r="AC260">
        <f t="shared" si="168"/>
        <v>5.5411411016687868</v>
      </c>
      <c r="AD260">
        <f t="shared" si="169"/>
        <v>5.6584728577926828</v>
      </c>
      <c r="AE260">
        <f t="shared" si="170"/>
        <v>5.6550665468798345</v>
      </c>
      <c r="AF260">
        <f t="shared" si="171"/>
        <v>5.5889109099589831</v>
      </c>
      <c r="AG260">
        <f t="shared" si="172"/>
        <v>5.5642972529786805</v>
      </c>
      <c r="AH260">
        <f t="shared" si="173"/>
        <v>5.4590839518985437</v>
      </c>
      <c r="AI260">
        <f t="shared" si="174"/>
        <v>5.5971900660827698</v>
      </c>
      <c r="AJ260">
        <f t="shared" si="175"/>
        <v>0</v>
      </c>
      <c r="AL260">
        <f t="shared" si="176"/>
        <v>5.9255868158895906</v>
      </c>
      <c r="AM260">
        <f t="shared" si="177"/>
        <v>0.3738201128153622</v>
      </c>
      <c r="AN260">
        <f t="shared" si="178"/>
        <v>1.5232741999484511</v>
      </c>
      <c r="AO260">
        <f t="shared" si="179"/>
        <v>1.426413043820991</v>
      </c>
      <c r="AP260">
        <f t="shared" si="180"/>
        <v>1.9233876641047503</v>
      </c>
      <c r="AQ260">
        <f t="shared" si="181"/>
        <v>0.11616118392003522</v>
      </c>
      <c r="AR260">
        <f t="shared" si="182"/>
        <v>0.71305076579830073</v>
      </c>
      <c r="AS260">
        <f t="shared" si="183"/>
        <v>0.39519459898801695</v>
      </c>
      <c r="AT260">
        <f t="shared" si="184"/>
        <v>0.26221961576561309</v>
      </c>
      <c r="AU260">
        <f t="shared" si="185"/>
        <v>0.16728375089860087</v>
      </c>
      <c r="AV260">
        <f t="shared" si="186"/>
        <v>-6.6805338039708867E-2</v>
      </c>
      <c r="AW260">
        <f t="shared" si="187"/>
        <v>-1.0284243705492908</v>
      </c>
      <c r="AX260">
        <f t="shared" si="188"/>
        <v>-0.71455213066302048</v>
      </c>
      <c r="AY260">
        <f t="shared" si="189"/>
        <v>-0.72366429663823872</v>
      </c>
      <c r="AZ260">
        <f t="shared" si="190"/>
        <v>-0.9006361466080316</v>
      </c>
      <c r="BA260">
        <f t="shared" si="191"/>
        <v>-0.96647973323297021</v>
      </c>
      <c r="BB260">
        <f t="shared" si="192"/>
        <v>-1.2479340944971109</v>
      </c>
      <c r="BC260">
        <f t="shared" si="193"/>
        <v>-0.87848871301642073</v>
      </c>
      <c r="BD260">
        <f t="shared" si="194"/>
        <v>0</v>
      </c>
    </row>
    <row r="261" spans="1:56" x14ac:dyDescent="0.2">
      <c r="A261" t="s">
        <v>179</v>
      </c>
      <c r="B261">
        <v>226895.79689999999</v>
      </c>
      <c r="C261">
        <v>261203.79689999999</v>
      </c>
      <c r="D261">
        <v>180166</v>
      </c>
      <c r="E261">
        <v>209339.4062</v>
      </c>
      <c r="F261">
        <v>104889.375</v>
      </c>
      <c r="G261">
        <v>116842.36719999999</v>
      </c>
      <c r="H261">
        <v>146235.6562</v>
      </c>
      <c r="I261">
        <v>159422.01560000001</v>
      </c>
      <c r="J261">
        <v>487088.40620000003</v>
      </c>
      <c r="K261">
        <v>207498.875</v>
      </c>
      <c r="L261">
        <v>171653.85939999999</v>
      </c>
      <c r="M261">
        <v>295144.21879999997</v>
      </c>
      <c r="N261">
        <v>274860.9375</v>
      </c>
      <c r="O261">
        <v>135549.35939999999</v>
      </c>
      <c r="P261">
        <v>178089.76560000001</v>
      </c>
      <c r="Q261">
        <v>159553.0625</v>
      </c>
      <c r="R261" s="2" t="s">
        <v>180</v>
      </c>
      <c r="S261" s="4" t="s">
        <v>422</v>
      </c>
      <c r="T261">
        <f t="shared" si="159"/>
        <v>5.3558264509310192</v>
      </c>
      <c r="U261">
        <f t="shared" si="160"/>
        <v>5.4169794856226892</v>
      </c>
      <c r="V261">
        <f t="shared" si="161"/>
        <v>5.2556728365565846</v>
      </c>
      <c r="W261">
        <f t="shared" si="162"/>
        <v>5.3208509879390009</v>
      </c>
      <c r="X261">
        <f t="shared" si="163"/>
        <v>5.0207314976065787</v>
      </c>
      <c r="Y261">
        <f t="shared" si="164"/>
        <v>5.0676003470988702</v>
      </c>
      <c r="Z261">
        <f t="shared" si="165"/>
        <v>5.1650532782503387</v>
      </c>
      <c r="AA261">
        <f t="shared" si="166"/>
        <v>5.2025482956885645</v>
      </c>
      <c r="AB261">
        <f t="shared" si="167"/>
        <v>5.6876077925089747</v>
      </c>
      <c r="AC261">
        <f t="shared" si="168"/>
        <v>5.3170157464330918</v>
      </c>
      <c r="AD261">
        <f t="shared" si="169"/>
        <v>5.2346535723832703</v>
      </c>
      <c r="AE261">
        <f t="shared" si="170"/>
        <v>5.470034280805228</v>
      </c>
      <c r="AF261">
        <f t="shared" si="171"/>
        <v>5.4391130234606893</v>
      </c>
      <c r="AG261">
        <f t="shared" si="172"/>
        <v>5.1320974694657293</v>
      </c>
      <c r="AH261">
        <f t="shared" si="173"/>
        <v>5.2506389622978444</v>
      </c>
      <c r="AI261">
        <f t="shared" si="174"/>
        <v>5.2029051445626617</v>
      </c>
      <c r="AJ261" t="str">
        <f t="shared" si="175"/>
        <v>C00089</v>
      </c>
      <c r="AL261">
        <f t="shared" si="176"/>
        <v>5.2837080732256965</v>
      </c>
      <c r="AM261">
        <f t="shared" si="177"/>
        <v>0.16688925189553538</v>
      </c>
      <c r="AN261">
        <f t="shared" si="178"/>
        <v>0.43213314749870962</v>
      </c>
      <c r="AO261">
        <f t="shared" si="179"/>
        <v>0.79856198576774828</v>
      </c>
      <c r="AP261">
        <f t="shared" si="180"/>
        <v>-0.16798707137030372</v>
      </c>
      <c r="AQ261">
        <f t="shared" si="181"/>
        <v>0.22256025652601111</v>
      </c>
      <c r="AR261">
        <f t="shared" si="182"/>
        <v>-1.575755014970817</v>
      </c>
      <c r="AS261">
        <f t="shared" si="183"/>
        <v>-1.2949169804062592</v>
      </c>
      <c r="AT261">
        <f t="shared" si="184"/>
        <v>-0.71097924897901743</v>
      </c>
      <c r="AU261">
        <f t="shared" si="185"/>
        <v>-0.48630919376362292</v>
      </c>
      <c r="AV261">
        <f t="shared" si="186"/>
        <v>2.4201661562729035</v>
      </c>
      <c r="AW261">
        <f t="shared" si="187"/>
        <v>0.19957949855419302</v>
      </c>
      <c r="AX261">
        <f t="shared" si="188"/>
        <v>-0.29393445225059717</v>
      </c>
      <c r="AY261">
        <f t="shared" si="189"/>
        <v>1.1164661921797263</v>
      </c>
      <c r="AZ261">
        <f t="shared" si="190"/>
        <v>0.93118609179378897</v>
      </c>
      <c r="BA261">
        <f t="shared" si="191"/>
        <v>-0.90845037674965479</v>
      </c>
      <c r="BB261">
        <f t="shared" si="192"/>
        <v>-0.19815003394317865</v>
      </c>
      <c r="BC261">
        <f t="shared" si="193"/>
        <v>-0.48417095615967809</v>
      </c>
      <c r="BD261" t="str">
        <f t="shared" si="194"/>
        <v>C00089</v>
      </c>
    </row>
    <row r="262" spans="1:56" x14ac:dyDescent="0.2">
      <c r="A262" t="s">
        <v>181</v>
      </c>
      <c r="B262">
        <v>59141064</v>
      </c>
      <c r="C262">
        <v>42056784</v>
      </c>
      <c r="D262">
        <v>78479840</v>
      </c>
      <c r="E262">
        <v>35633044</v>
      </c>
      <c r="F262">
        <v>43183812</v>
      </c>
      <c r="G262">
        <v>32002446</v>
      </c>
      <c r="H262">
        <v>36829612</v>
      </c>
      <c r="I262">
        <v>41208840</v>
      </c>
      <c r="J262">
        <v>22012042</v>
      </c>
      <c r="K262">
        <v>15150225</v>
      </c>
      <c r="L262">
        <v>16208173</v>
      </c>
      <c r="M262">
        <v>21523736</v>
      </c>
      <c r="N262">
        <v>20880658</v>
      </c>
      <c r="O262">
        <v>25347666</v>
      </c>
      <c r="P262">
        <v>22061426</v>
      </c>
      <c r="Q262">
        <v>18239156</v>
      </c>
      <c r="R262" s="2" t="s">
        <v>182</v>
      </c>
      <c r="S262" s="4" t="s">
        <v>422</v>
      </c>
      <c r="T262">
        <f t="shared" si="159"/>
        <v>7.7718891336018681</v>
      </c>
      <c r="U262">
        <f t="shared" si="160"/>
        <v>7.6238360599705217</v>
      </c>
      <c r="V262">
        <f t="shared" si="161"/>
        <v>7.894758108959202</v>
      </c>
      <c r="W262">
        <f t="shared" si="162"/>
        <v>7.5518529241173598</v>
      </c>
      <c r="X262">
        <f t="shared" si="163"/>
        <v>7.6353209765228263</v>
      </c>
      <c r="Y262">
        <f t="shared" si="164"/>
        <v>7.5051831734357064</v>
      </c>
      <c r="Z262">
        <f t="shared" si="165"/>
        <v>7.5661971435862032</v>
      </c>
      <c r="AA262">
        <f t="shared" si="166"/>
        <v>7.6149903896109876</v>
      </c>
      <c r="AB262">
        <f t="shared" si="167"/>
        <v>7.3426603327939812</v>
      </c>
      <c r="AC262">
        <f t="shared" si="168"/>
        <v>7.1804190827084771</v>
      </c>
      <c r="AD262">
        <f t="shared" si="169"/>
        <v>7.2097340635384413</v>
      </c>
      <c r="AE262">
        <f t="shared" si="170"/>
        <v>7.3329176565557255</v>
      </c>
      <c r="AF262">
        <f t="shared" si="171"/>
        <v>7.3197441802146335</v>
      </c>
      <c r="AG262">
        <f t="shared" si="172"/>
        <v>7.4039379758986561</v>
      </c>
      <c r="AH262">
        <f t="shared" si="173"/>
        <v>7.343633580811133</v>
      </c>
      <c r="AI262">
        <f t="shared" si="174"/>
        <v>7.2610047378836615</v>
      </c>
      <c r="AJ262" t="str">
        <f t="shared" si="175"/>
        <v>C00188</v>
      </c>
      <c r="AL262">
        <f t="shared" si="176"/>
        <v>7.4723799700130851</v>
      </c>
      <c r="AM262">
        <f t="shared" si="177"/>
        <v>0.20556705475012374</v>
      </c>
      <c r="AN262">
        <f t="shared" si="178"/>
        <v>1.4569900996677227</v>
      </c>
      <c r="AO262">
        <f t="shared" si="179"/>
        <v>0.73677219407330874</v>
      </c>
      <c r="AP262">
        <f t="shared" si="180"/>
        <v>2.0546976238947292</v>
      </c>
      <c r="AQ262">
        <f t="shared" si="181"/>
        <v>0.38660355474216301</v>
      </c>
      <c r="AR262">
        <f t="shared" si="182"/>
        <v>0.7926416356346766</v>
      </c>
      <c r="AS262">
        <f t="shared" si="183"/>
        <v>0.15957422488002826</v>
      </c>
      <c r="AT262">
        <f t="shared" si="184"/>
        <v>0.45638234048329024</v>
      </c>
      <c r="AU262">
        <f t="shared" si="185"/>
        <v>0.69374161035313808</v>
      </c>
      <c r="AV262">
        <f t="shared" si="186"/>
        <v>-0.63103320411329555</v>
      </c>
      <c r="AW262">
        <f t="shared" si="187"/>
        <v>-1.420270809734079</v>
      </c>
      <c r="AX262">
        <f t="shared" si="188"/>
        <v>-1.27766536711781</v>
      </c>
      <c r="AY262">
        <f t="shared" si="189"/>
        <v>-0.67842735610957938</v>
      </c>
      <c r="AZ262">
        <f t="shared" si="190"/>
        <v>-0.74251095334311945</v>
      </c>
      <c r="BA262">
        <f t="shared" si="191"/>
        <v>-0.33294242697412474</v>
      </c>
      <c r="BB262">
        <f t="shared" si="192"/>
        <v>-0.62629874888487946</v>
      </c>
      <c r="BC262">
        <f t="shared" si="193"/>
        <v>-1.0282544174520567</v>
      </c>
      <c r="BD262" t="str">
        <f t="shared" si="194"/>
        <v>C00188</v>
      </c>
    </row>
    <row r="263" spans="1:56" x14ac:dyDescent="0.2">
      <c r="A263" t="s">
        <v>311</v>
      </c>
      <c r="B263">
        <v>70810.039059999996</v>
      </c>
      <c r="C263">
        <v>53773.660159999999</v>
      </c>
      <c r="D263">
        <v>42234.917970000002</v>
      </c>
      <c r="E263">
        <v>49451.589840000001</v>
      </c>
      <c r="F263">
        <v>33367.273439999997</v>
      </c>
      <c r="G263">
        <v>33098.476560000003</v>
      </c>
      <c r="H263">
        <v>21300.039059999999</v>
      </c>
      <c r="I263">
        <v>19603.695309999999</v>
      </c>
      <c r="J263">
        <v>30981.332030000001</v>
      </c>
      <c r="K263">
        <v>36226.554689999997</v>
      </c>
      <c r="L263">
        <v>42537.347659999999</v>
      </c>
      <c r="M263">
        <v>47887.910159999999</v>
      </c>
      <c r="N263">
        <v>34043.511720000002</v>
      </c>
      <c r="O263">
        <v>39233.5</v>
      </c>
      <c r="P263">
        <v>27744.121090000001</v>
      </c>
      <c r="Q263">
        <v>28061.04492</v>
      </c>
      <c r="R263" s="2" t="s">
        <v>409</v>
      </c>
      <c r="S263" s="4" t="s">
        <v>422</v>
      </c>
      <c r="T263">
        <f t="shared" si="159"/>
        <v>4.8500948339508554</v>
      </c>
      <c r="U263">
        <f t="shared" si="160"/>
        <v>4.7305695981879472</v>
      </c>
      <c r="V263">
        <f t="shared" si="161"/>
        <v>4.6256716550189374</v>
      </c>
      <c r="W263">
        <f t="shared" si="162"/>
        <v>4.6941802584739474</v>
      </c>
      <c r="X263">
        <f t="shared" si="163"/>
        <v>4.5233207203395089</v>
      </c>
      <c r="Y263">
        <f t="shared" si="164"/>
        <v>4.5198080047481755</v>
      </c>
      <c r="Z263">
        <f t="shared" si="165"/>
        <v>4.3283803998484514</v>
      </c>
      <c r="AA263">
        <f t="shared" si="166"/>
        <v>4.2923379438806855</v>
      </c>
      <c r="AB263">
        <f t="shared" si="167"/>
        <v>4.4911000861424419</v>
      </c>
      <c r="AC263">
        <f t="shared" si="168"/>
        <v>4.5590270326193929</v>
      </c>
      <c r="AD263">
        <f t="shared" si="169"/>
        <v>4.6287704067576456</v>
      </c>
      <c r="AE263">
        <f t="shared" si="170"/>
        <v>4.68022588473975</v>
      </c>
      <c r="AF263">
        <f t="shared" si="171"/>
        <v>4.532034352880066</v>
      </c>
      <c r="AG263">
        <f t="shared" si="172"/>
        <v>4.5936570530411869</v>
      </c>
      <c r="AH263">
        <f t="shared" si="173"/>
        <v>4.4431709712907832</v>
      </c>
      <c r="AI263">
        <f t="shared" si="174"/>
        <v>4.4481038389853103</v>
      </c>
      <c r="AJ263" t="str">
        <f t="shared" si="175"/>
        <v>C02835</v>
      </c>
      <c r="AL263">
        <f t="shared" si="176"/>
        <v>4.5587783150565668</v>
      </c>
      <c r="AM263">
        <f t="shared" si="177"/>
        <v>0.14509997341165018</v>
      </c>
      <c r="AN263">
        <f t="shared" si="178"/>
        <v>2.0076951914237813</v>
      </c>
      <c r="AO263">
        <f t="shared" si="179"/>
        <v>1.1839511689227307</v>
      </c>
      <c r="AP263">
        <f t="shared" si="180"/>
        <v>0.46101552184708844</v>
      </c>
      <c r="AQ263">
        <f t="shared" si="181"/>
        <v>0.93316311666883478</v>
      </c>
      <c r="AR263">
        <f t="shared" si="182"/>
        <v>-0.24436665206315591</v>
      </c>
      <c r="AS263">
        <f t="shared" si="183"/>
        <v>-0.26857558545398341</v>
      </c>
      <c r="AT263">
        <f t="shared" si="184"/>
        <v>-1.5878563571784685</v>
      </c>
      <c r="AU263">
        <f t="shared" si="185"/>
        <v>-1.8362537560223198</v>
      </c>
      <c r="AV263">
        <f t="shared" si="186"/>
        <v>-0.46642481954232362</v>
      </c>
      <c r="AW263">
        <f t="shared" si="187"/>
        <v>1.7141117050411755E-3</v>
      </c>
      <c r="AX263">
        <f t="shared" si="188"/>
        <v>0.48237149914914507</v>
      </c>
      <c r="AY263">
        <f t="shared" si="189"/>
        <v>0.83699236345574712</v>
      </c>
      <c r="AZ263">
        <f t="shared" si="190"/>
        <v>-0.18431403912547917</v>
      </c>
      <c r="BA263">
        <f t="shared" si="191"/>
        <v>0.24037728722160887</v>
      </c>
      <c r="BB263">
        <f t="shared" si="192"/>
        <v>-0.79674269434774025</v>
      </c>
      <c r="BC263">
        <f t="shared" si="193"/>
        <v>-0.76274635666039647</v>
      </c>
      <c r="BD263" t="str">
        <f t="shared" si="194"/>
        <v>C02835</v>
      </c>
    </row>
    <row r="264" spans="1:56" x14ac:dyDescent="0.2">
      <c r="A264" t="s">
        <v>312</v>
      </c>
      <c r="B264">
        <v>31656.365229999999</v>
      </c>
      <c r="C264">
        <v>24993.41992</v>
      </c>
      <c r="D264">
        <v>28672.537110000001</v>
      </c>
      <c r="E264">
        <v>19294.619139999999</v>
      </c>
      <c r="G264">
        <v>19539.230469999999</v>
      </c>
      <c r="J264">
        <v>26654.685549999998</v>
      </c>
      <c r="K264">
        <v>17267.845700000002</v>
      </c>
      <c r="R264" s="2" t="s">
        <v>313</v>
      </c>
      <c r="S264" s="4" t="s">
        <v>422</v>
      </c>
      <c r="T264">
        <f t="shared" si="159"/>
        <v>4.5004610478865601</v>
      </c>
      <c r="U264">
        <f t="shared" si="160"/>
        <v>4.3978256859289422</v>
      </c>
      <c r="V264">
        <f t="shared" si="161"/>
        <v>4.4574661235053412</v>
      </c>
      <c r="W264">
        <f t="shared" si="162"/>
        <v>4.2854362103741765</v>
      </c>
      <c r="X264" t="e">
        <f t="shared" si="163"/>
        <v>#NUM!</v>
      </c>
      <c r="Y264">
        <f t="shared" si="164"/>
        <v>4.2909074555335387</v>
      </c>
      <c r="Z264" t="e">
        <f t="shared" si="165"/>
        <v>#NUM!</v>
      </c>
      <c r="AA264" t="e">
        <f t="shared" si="166"/>
        <v>#NUM!</v>
      </c>
      <c r="AB264">
        <f t="shared" si="167"/>
        <v>4.4257735634430357</v>
      </c>
      <c r="AC264">
        <f t="shared" si="168"/>
        <v>4.2372381592836303</v>
      </c>
      <c r="AD264" t="e">
        <f t="shared" si="169"/>
        <v>#NUM!</v>
      </c>
      <c r="AE264" t="e">
        <f t="shared" si="170"/>
        <v>#NUM!</v>
      </c>
      <c r="AF264" t="e">
        <f t="shared" si="171"/>
        <v>#NUM!</v>
      </c>
      <c r="AG264" t="e">
        <f t="shared" si="172"/>
        <v>#NUM!</v>
      </c>
      <c r="AH264" t="e">
        <f t="shared" si="173"/>
        <v>#NUM!</v>
      </c>
      <c r="AI264" t="e">
        <f t="shared" si="174"/>
        <v>#NUM!</v>
      </c>
      <c r="AJ264" t="str">
        <f t="shared" si="175"/>
        <v>C00300</v>
      </c>
      <c r="AL264" t="e">
        <f t="shared" si="176"/>
        <v>#NUM!</v>
      </c>
      <c r="AM264" t="e">
        <f t="shared" si="177"/>
        <v>#NUM!</v>
      </c>
      <c r="AN264" t="e">
        <f t="shared" si="178"/>
        <v>#NUM!</v>
      </c>
      <c r="AO264" t="e">
        <f t="shared" si="179"/>
        <v>#NUM!</v>
      </c>
      <c r="AP264" t="e">
        <f t="shared" si="180"/>
        <v>#NUM!</v>
      </c>
      <c r="AQ264" t="e">
        <f t="shared" si="181"/>
        <v>#NUM!</v>
      </c>
      <c r="AR264" t="e">
        <f t="shared" si="182"/>
        <v>#NUM!</v>
      </c>
      <c r="AS264" t="e">
        <f t="shared" si="183"/>
        <v>#NUM!</v>
      </c>
      <c r="AT264" t="e">
        <f t="shared" si="184"/>
        <v>#NUM!</v>
      </c>
      <c r="AU264" t="e">
        <f t="shared" si="185"/>
        <v>#NUM!</v>
      </c>
      <c r="AV264" t="e">
        <f t="shared" si="186"/>
        <v>#NUM!</v>
      </c>
      <c r="AW264" t="e">
        <f t="shared" si="187"/>
        <v>#NUM!</v>
      </c>
      <c r="AX264" t="e">
        <f t="shared" si="188"/>
        <v>#NUM!</v>
      </c>
      <c r="AY264" t="e">
        <f t="shared" si="189"/>
        <v>#NUM!</v>
      </c>
      <c r="AZ264" t="e">
        <f t="shared" si="190"/>
        <v>#NUM!</v>
      </c>
      <c r="BA264" t="e">
        <f t="shared" si="191"/>
        <v>#NUM!</v>
      </c>
      <c r="BB264" t="e">
        <f t="shared" si="192"/>
        <v>#NUM!</v>
      </c>
      <c r="BC264" t="e">
        <f t="shared" si="193"/>
        <v>#NUM!</v>
      </c>
      <c r="BD264" t="str">
        <f t="shared" si="194"/>
        <v>C00300</v>
      </c>
    </row>
    <row r="265" spans="1:56" x14ac:dyDescent="0.2">
      <c r="A265" t="s">
        <v>314</v>
      </c>
      <c r="R265" s="2" t="s">
        <v>315</v>
      </c>
      <c r="S265" s="4" t="s">
        <v>422</v>
      </c>
      <c r="T265" t="e">
        <f t="shared" si="159"/>
        <v>#NUM!</v>
      </c>
      <c r="U265" t="e">
        <f t="shared" si="160"/>
        <v>#NUM!</v>
      </c>
      <c r="V265" t="e">
        <f t="shared" si="161"/>
        <v>#NUM!</v>
      </c>
      <c r="W265" t="e">
        <f t="shared" si="162"/>
        <v>#NUM!</v>
      </c>
      <c r="X265" t="e">
        <f t="shared" si="163"/>
        <v>#NUM!</v>
      </c>
      <c r="Y265" t="e">
        <f t="shared" si="164"/>
        <v>#NUM!</v>
      </c>
      <c r="Z265" t="e">
        <f t="shared" si="165"/>
        <v>#NUM!</v>
      </c>
      <c r="AA265" t="e">
        <f t="shared" si="166"/>
        <v>#NUM!</v>
      </c>
      <c r="AB265" t="e">
        <f t="shared" si="167"/>
        <v>#NUM!</v>
      </c>
      <c r="AC265" t="e">
        <f t="shared" si="168"/>
        <v>#NUM!</v>
      </c>
      <c r="AD265" t="e">
        <f t="shared" si="169"/>
        <v>#NUM!</v>
      </c>
      <c r="AE265" t="e">
        <f t="shared" si="170"/>
        <v>#NUM!</v>
      </c>
      <c r="AF265" t="e">
        <f t="shared" si="171"/>
        <v>#NUM!</v>
      </c>
      <c r="AG265" t="e">
        <f t="shared" si="172"/>
        <v>#NUM!</v>
      </c>
      <c r="AH265" t="e">
        <f t="shared" si="173"/>
        <v>#NUM!</v>
      </c>
      <c r="AI265" t="e">
        <f t="shared" si="174"/>
        <v>#NUM!</v>
      </c>
      <c r="AJ265" t="str">
        <f t="shared" si="175"/>
        <v>C02886</v>
      </c>
      <c r="AL265" t="e">
        <f t="shared" si="176"/>
        <v>#NUM!</v>
      </c>
      <c r="AM265" t="e">
        <f t="shared" si="177"/>
        <v>#NUM!</v>
      </c>
      <c r="AN265" t="e">
        <f t="shared" si="178"/>
        <v>#NUM!</v>
      </c>
      <c r="AO265" t="e">
        <f t="shared" si="179"/>
        <v>#NUM!</v>
      </c>
      <c r="AP265" t="e">
        <f t="shared" si="180"/>
        <v>#NUM!</v>
      </c>
      <c r="AQ265" t="e">
        <f t="shared" si="181"/>
        <v>#NUM!</v>
      </c>
      <c r="AR265" t="e">
        <f t="shared" si="182"/>
        <v>#NUM!</v>
      </c>
      <c r="AS265" t="e">
        <f t="shared" si="183"/>
        <v>#NUM!</v>
      </c>
      <c r="AT265" t="e">
        <f t="shared" si="184"/>
        <v>#NUM!</v>
      </c>
      <c r="AU265" t="e">
        <f t="shared" si="185"/>
        <v>#NUM!</v>
      </c>
      <c r="AV265" t="e">
        <f t="shared" si="186"/>
        <v>#NUM!</v>
      </c>
      <c r="AW265" t="e">
        <f t="shared" si="187"/>
        <v>#NUM!</v>
      </c>
      <c r="AX265" t="e">
        <f t="shared" si="188"/>
        <v>#NUM!</v>
      </c>
      <c r="AY265" t="e">
        <f t="shared" si="189"/>
        <v>#NUM!</v>
      </c>
      <c r="AZ265" t="e">
        <f t="shared" si="190"/>
        <v>#NUM!</v>
      </c>
      <c r="BA265" t="e">
        <f t="shared" si="191"/>
        <v>#NUM!</v>
      </c>
      <c r="BB265" t="e">
        <f t="shared" si="192"/>
        <v>#NUM!</v>
      </c>
      <c r="BC265" t="e">
        <f t="shared" si="193"/>
        <v>#NUM!</v>
      </c>
      <c r="BD265" t="str">
        <f t="shared" si="194"/>
        <v>C02886</v>
      </c>
    </row>
    <row r="266" spans="1:56" x14ac:dyDescent="0.2">
      <c r="A266" t="s">
        <v>316</v>
      </c>
      <c r="B266">
        <v>15398788</v>
      </c>
      <c r="C266">
        <v>10656565</v>
      </c>
      <c r="D266">
        <v>1453050.875</v>
      </c>
      <c r="E266">
        <v>6964667</v>
      </c>
      <c r="F266">
        <v>615376.875</v>
      </c>
      <c r="G266">
        <v>1019319.625</v>
      </c>
      <c r="H266">
        <v>864069.5</v>
      </c>
      <c r="I266">
        <v>517549.5</v>
      </c>
      <c r="J266">
        <v>237908.98439999999</v>
      </c>
      <c r="K266">
        <v>115659.07030000001</v>
      </c>
      <c r="L266">
        <v>177469.95310000001</v>
      </c>
      <c r="M266">
        <v>129211.21090000001</v>
      </c>
      <c r="N266">
        <v>327778.71879999997</v>
      </c>
      <c r="O266">
        <v>147594.98439999999</v>
      </c>
      <c r="P266">
        <v>110906.44530000001</v>
      </c>
      <c r="Q266">
        <v>92583.570309999996</v>
      </c>
      <c r="R266" s="2" t="s">
        <v>317</v>
      </c>
      <c r="S266" s="4" t="s">
        <v>422</v>
      </c>
      <c r="T266">
        <f t="shared" si="159"/>
        <v>7.187486539951661</v>
      </c>
      <c r="U266">
        <f t="shared" si="160"/>
        <v>7.0276172382786806</v>
      </c>
      <c r="V266">
        <f t="shared" si="161"/>
        <v>6.16228082031658</v>
      </c>
      <c r="W266">
        <f t="shared" si="162"/>
        <v>6.8429003564355373</v>
      </c>
      <c r="X266">
        <f t="shared" si="163"/>
        <v>5.7891411720404715</v>
      </c>
      <c r="Y266">
        <f t="shared" si="164"/>
        <v>6.0083103857808817</v>
      </c>
      <c r="Z266">
        <f t="shared" si="165"/>
        <v>5.9365486756416033</v>
      </c>
      <c r="AA266">
        <f t="shared" si="166"/>
        <v>5.7139518933536406</v>
      </c>
      <c r="AB266">
        <f t="shared" si="167"/>
        <v>5.376410843053101</v>
      </c>
      <c r="AC266">
        <f t="shared" si="168"/>
        <v>5.0631796970009271</v>
      </c>
      <c r="AD266">
        <f t="shared" si="169"/>
        <v>5.2491248345321466</v>
      </c>
      <c r="AE266">
        <f t="shared" si="170"/>
        <v>5.111300196482448</v>
      </c>
      <c r="AF266">
        <f t="shared" si="171"/>
        <v>5.5155807533597017</v>
      </c>
      <c r="AG266">
        <f t="shared" si="172"/>
        <v>5.1690715994625389</v>
      </c>
      <c r="AH266">
        <f t="shared" si="173"/>
        <v>5.0449567857964679</v>
      </c>
      <c r="AI266">
        <f t="shared" si="174"/>
        <v>4.9665339245136959</v>
      </c>
      <c r="AJ266" t="str">
        <f t="shared" si="175"/>
        <v>C01742</v>
      </c>
      <c r="AL266">
        <f t="shared" si="176"/>
        <v>5.7602747322500054</v>
      </c>
      <c r="AM266">
        <f t="shared" si="177"/>
        <v>0.72751571050270714</v>
      </c>
      <c r="AN266">
        <f t="shared" si="178"/>
        <v>1.9617608074957782</v>
      </c>
      <c r="AO266">
        <f t="shared" si="179"/>
        <v>1.7420139355519242</v>
      </c>
      <c r="AP266">
        <f t="shared" si="180"/>
        <v>0.55257375512728346</v>
      </c>
      <c r="AQ266">
        <f t="shared" si="181"/>
        <v>1.488113051795743</v>
      </c>
      <c r="AR266">
        <f t="shared" si="182"/>
        <v>3.9678098182264185E-2</v>
      </c>
      <c r="AS266">
        <f t="shared" si="183"/>
        <v>0.34093511652069453</v>
      </c>
      <c r="AT266">
        <f t="shared" si="184"/>
        <v>0.24229572069281372</v>
      </c>
      <c r="AU266">
        <f t="shared" si="185"/>
        <v>-6.3672630333104566E-2</v>
      </c>
      <c r="AV266">
        <f t="shared" si="186"/>
        <v>-0.52763656324570329</v>
      </c>
      <c r="AW266">
        <f t="shared" si="187"/>
        <v>-0.95818554181791016</v>
      </c>
      <c r="AX266">
        <f t="shared" si="188"/>
        <v>-0.70259637055075908</v>
      </c>
      <c r="AY266">
        <f t="shared" si="189"/>
        <v>-0.89204195373199779</v>
      </c>
      <c r="AZ266">
        <f t="shared" si="190"/>
        <v>-0.33634184850966631</v>
      </c>
      <c r="BA266">
        <f t="shared" si="191"/>
        <v>-0.81263280538498639</v>
      </c>
      <c r="BB266">
        <f t="shared" si="192"/>
        <v>-0.983233676093756</v>
      </c>
      <c r="BC266">
        <f t="shared" si="193"/>
        <v>-1.0910290956986226</v>
      </c>
      <c r="BD266" t="str">
        <f t="shared" si="194"/>
        <v>C01742</v>
      </c>
    </row>
    <row r="267" spans="1:56" x14ac:dyDescent="0.2">
      <c r="A267" t="s">
        <v>187</v>
      </c>
      <c r="B267">
        <v>1330113.5</v>
      </c>
      <c r="C267">
        <v>1112226.125</v>
      </c>
      <c r="D267">
        <v>1468618.625</v>
      </c>
      <c r="E267">
        <v>864182.375</v>
      </c>
      <c r="F267">
        <v>807409</v>
      </c>
      <c r="G267">
        <v>613030.25</v>
      </c>
      <c r="H267">
        <v>730751.8125</v>
      </c>
      <c r="I267">
        <v>784538.375</v>
      </c>
      <c r="J267">
        <v>1621396.375</v>
      </c>
      <c r="K267">
        <v>976644.9375</v>
      </c>
      <c r="L267">
        <v>1304471.875</v>
      </c>
      <c r="M267">
        <v>1776948</v>
      </c>
      <c r="N267">
        <v>655876.75</v>
      </c>
      <c r="O267">
        <v>652375.375</v>
      </c>
      <c r="P267">
        <v>739677.75</v>
      </c>
      <c r="Q267">
        <v>504443.625</v>
      </c>
      <c r="R267" s="2" t="s">
        <v>188</v>
      </c>
      <c r="S267" s="4" t="s">
        <v>422</v>
      </c>
      <c r="T267">
        <f t="shared" si="159"/>
        <v>6.1238887013584762</v>
      </c>
      <c r="U267">
        <f t="shared" si="160"/>
        <v>6.0461930919727527</v>
      </c>
      <c r="V267">
        <f t="shared" si="161"/>
        <v>6.1669090316230113</v>
      </c>
      <c r="W267">
        <f t="shared" si="162"/>
        <v>5.9366054046293435</v>
      </c>
      <c r="X267">
        <f t="shared" si="163"/>
        <v>5.907093586080677</v>
      </c>
      <c r="Y267">
        <f t="shared" si="164"/>
        <v>5.7874819053241886</v>
      </c>
      <c r="Z267">
        <f t="shared" si="165"/>
        <v>5.8637699012210884</v>
      </c>
      <c r="AA267">
        <f t="shared" si="166"/>
        <v>5.8946141915725843</v>
      </c>
      <c r="AB267">
        <f t="shared" si="167"/>
        <v>6.2098891977183515</v>
      </c>
      <c r="AC267">
        <f t="shared" si="168"/>
        <v>5.9897367032158551</v>
      </c>
      <c r="AD267">
        <f t="shared" si="169"/>
        <v>6.1154347199529298</v>
      </c>
      <c r="AE267">
        <f t="shared" si="170"/>
        <v>6.2496747189457116</v>
      </c>
      <c r="AF267">
        <f t="shared" si="171"/>
        <v>5.8168222359856285</v>
      </c>
      <c r="AG267">
        <f t="shared" si="172"/>
        <v>5.8144975595057993</v>
      </c>
      <c r="AH267">
        <f t="shared" si="173"/>
        <v>5.8690425550307488</v>
      </c>
      <c r="AI267">
        <f t="shared" si="174"/>
        <v>5.7028126379278214</v>
      </c>
      <c r="AJ267" t="str">
        <f t="shared" si="175"/>
        <v>C00263</v>
      </c>
      <c r="AL267">
        <f t="shared" si="176"/>
        <v>5.9684041338790603</v>
      </c>
      <c r="AM267">
        <f t="shared" si="177"/>
        <v>0.16534895664139762</v>
      </c>
      <c r="AN267">
        <f t="shared" si="178"/>
        <v>0.94034199330706836</v>
      </c>
      <c r="AO267">
        <f t="shared" si="179"/>
        <v>0.47045327453984492</v>
      </c>
      <c r="AP267">
        <f t="shared" si="180"/>
        <v>1.2005210179490922</v>
      </c>
      <c r="AQ267">
        <f t="shared" si="181"/>
        <v>-0.19231285092823824</v>
      </c>
      <c r="AR267">
        <f t="shared" si="182"/>
        <v>-0.37079488763482932</v>
      </c>
      <c r="AS267">
        <f t="shared" si="183"/>
        <v>-1.0941842768760182</v>
      </c>
      <c r="AT267">
        <f t="shared" si="184"/>
        <v>-0.6328085449302141</v>
      </c>
      <c r="AU267">
        <f t="shared" si="185"/>
        <v>-0.44626796446323408</v>
      </c>
      <c r="AV267">
        <f t="shared" si="186"/>
        <v>1.4604571371019568</v>
      </c>
      <c r="AW267">
        <f t="shared" si="187"/>
        <v>0.12901544569803347</v>
      </c>
      <c r="AX267">
        <f t="shared" si="188"/>
        <v>0.8892138726508183</v>
      </c>
      <c r="AY267">
        <f t="shared" si="189"/>
        <v>1.7010726331745774</v>
      </c>
      <c r="AZ267">
        <f t="shared" si="190"/>
        <v>-0.9167393672896087</v>
      </c>
      <c r="BA267">
        <f t="shared" si="191"/>
        <v>-0.93079858197743359</v>
      </c>
      <c r="BB267">
        <f t="shared" si="192"/>
        <v>-0.60092050694824195</v>
      </c>
      <c r="BC267">
        <f t="shared" si="193"/>
        <v>-1.606248393373557</v>
      </c>
      <c r="BD267" t="str">
        <f t="shared" si="194"/>
        <v>C00263</v>
      </c>
    </row>
    <row r="268" spans="1:56" x14ac:dyDescent="0.2">
      <c r="A268" t="s">
        <v>186</v>
      </c>
      <c r="B268">
        <v>405124</v>
      </c>
      <c r="C268">
        <v>592105.5</v>
      </c>
      <c r="D268">
        <v>723787.6875</v>
      </c>
      <c r="E268">
        <v>389142.3125</v>
      </c>
      <c r="F268">
        <v>532514.25</v>
      </c>
      <c r="G268">
        <v>319366.625</v>
      </c>
      <c r="H268">
        <v>505226.21879999997</v>
      </c>
      <c r="I268">
        <v>575967.5</v>
      </c>
      <c r="J268">
        <v>1385694.375</v>
      </c>
      <c r="K268">
        <v>721915.9375</v>
      </c>
      <c r="L268">
        <v>837061.125</v>
      </c>
      <c r="M268">
        <v>1258190.875</v>
      </c>
      <c r="N268">
        <v>2421760</v>
      </c>
      <c r="O268">
        <v>3895265</v>
      </c>
      <c r="P268">
        <v>5526960</v>
      </c>
      <c r="Q268">
        <v>2033962.875</v>
      </c>
      <c r="R268" s="2" t="s">
        <v>389</v>
      </c>
      <c r="S268" s="4" t="s">
        <v>422</v>
      </c>
      <c r="T268">
        <f t="shared" si="159"/>
        <v>5.6075879720377539</v>
      </c>
      <c r="U268">
        <f t="shared" si="160"/>
        <v>5.7723990952123101</v>
      </c>
      <c r="V268">
        <f t="shared" si="161"/>
        <v>5.8596111909629931</v>
      </c>
      <c r="W268">
        <f t="shared" si="162"/>
        <v>5.5901084553891662</v>
      </c>
      <c r="X268">
        <f t="shared" si="163"/>
        <v>5.7263312339202814</v>
      </c>
      <c r="Y268">
        <f t="shared" si="164"/>
        <v>5.5042895287853204</v>
      </c>
      <c r="Z268">
        <f t="shared" si="165"/>
        <v>5.7034858802536421</v>
      </c>
      <c r="AA268">
        <f t="shared" si="166"/>
        <v>5.7603979782689159</v>
      </c>
      <c r="AB268">
        <f t="shared" si="167"/>
        <v>6.1416674540222678</v>
      </c>
      <c r="AC268">
        <f t="shared" si="168"/>
        <v>5.8584866296951832</v>
      </c>
      <c r="AD268">
        <f t="shared" si="169"/>
        <v>5.922757172785297</v>
      </c>
      <c r="AE268">
        <f t="shared" si="170"/>
        <v>6.0997465311498003</v>
      </c>
      <c r="AF268">
        <f t="shared" si="171"/>
        <v>6.384131101713642</v>
      </c>
      <c r="AG268">
        <f t="shared" si="172"/>
        <v>6.5905370086383188</v>
      </c>
      <c r="AH268">
        <f t="shared" si="173"/>
        <v>6.7424863214947228</v>
      </c>
      <c r="AI268">
        <f t="shared" si="174"/>
        <v>6.3083430216792609</v>
      </c>
      <c r="AJ268" t="str">
        <f t="shared" si="175"/>
        <v>C01035</v>
      </c>
      <c r="AL268">
        <f t="shared" si="176"/>
        <v>5.9732729110005547</v>
      </c>
      <c r="AM268">
        <f t="shared" si="177"/>
        <v>0.36938659357343762</v>
      </c>
      <c r="AN268">
        <f t="shared" si="178"/>
        <v>-0.98997891457070175</v>
      </c>
      <c r="AO268">
        <f t="shared" si="179"/>
        <v>-0.54380375271607939</v>
      </c>
      <c r="AP268">
        <f t="shared" si="180"/>
        <v>-0.30770396656251287</v>
      </c>
      <c r="AQ268">
        <f t="shared" si="181"/>
        <v>-1.0372993018091536</v>
      </c>
      <c r="AR268">
        <f t="shared" si="182"/>
        <v>-0.66851824450737374</v>
      </c>
      <c r="AS268">
        <f t="shared" si="183"/>
        <v>-1.2696275132194148</v>
      </c>
      <c r="AT268">
        <f t="shared" si="184"/>
        <v>-0.73036497653311916</v>
      </c>
      <c r="AU268">
        <f t="shared" si="185"/>
        <v>-0.57629306649245582</v>
      </c>
      <c r="AV268">
        <f t="shared" si="186"/>
        <v>0.45587616321607144</v>
      </c>
      <c r="AW268">
        <f t="shared" si="187"/>
        <v>-0.31074836851801141</v>
      </c>
      <c r="AX268">
        <f t="shared" si="188"/>
        <v>-0.13675574342471275</v>
      </c>
      <c r="AY268">
        <f t="shared" si="189"/>
        <v>0.34238822509973255</v>
      </c>
      <c r="AZ268">
        <f t="shared" si="190"/>
        <v>1.1122715276113688</v>
      </c>
      <c r="BA268">
        <f t="shared" si="191"/>
        <v>1.6710517067399906</v>
      </c>
      <c r="BB268">
        <f t="shared" si="192"/>
        <v>2.0824074936039634</v>
      </c>
      <c r="BC268">
        <f t="shared" si="193"/>
        <v>0.9070987320824111</v>
      </c>
      <c r="BD268" t="str">
        <f t="shared" si="194"/>
        <v>C01035</v>
      </c>
    </row>
    <row r="269" spans="1:56" x14ac:dyDescent="0.2">
      <c r="A269" t="s">
        <v>191</v>
      </c>
      <c r="R269" s="2" t="s">
        <v>390</v>
      </c>
      <c r="S269" s="4" t="s">
        <v>422</v>
      </c>
      <c r="T269" t="e">
        <f t="shared" si="159"/>
        <v>#NUM!</v>
      </c>
      <c r="U269" t="e">
        <f t="shared" si="160"/>
        <v>#NUM!</v>
      </c>
      <c r="V269" t="e">
        <f t="shared" si="161"/>
        <v>#NUM!</v>
      </c>
      <c r="W269" t="e">
        <f t="shared" si="162"/>
        <v>#NUM!</v>
      </c>
      <c r="X269" t="e">
        <f t="shared" si="163"/>
        <v>#NUM!</v>
      </c>
      <c r="Y269" t="e">
        <f t="shared" si="164"/>
        <v>#NUM!</v>
      </c>
      <c r="Z269" t="e">
        <f t="shared" si="165"/>
        <v>#NUM!</v>
      </c>
      <c r="AA269" t="e">
        <f t="shared" si="166"/>
        <v>#NUM!</v>
      </c>
      <c r="AB269" t="e">
        <f t="shared" si="167"/>
        <v>#NUM!</v>
      </c>
      <c r="AC269" t="e">
        <f t="shared" si="168"/>
        <v>#NUM!</v>
      </c>
      <c r="AD269" t="e">
        <f t="shared" si="169"/>
        <v>#NUM!</v>
      </c>
      <c r="AE269" t="e">
        <f t="shared" si="170"/>
        <v>#NUM!</v>
      </c>
      <c r="AF269" t="e">
        <f t="shared" si="171"/>
        <v>#NUM!</v>
      </c>
      <c r="AG269" t="e">
        <f t="shared" si="172"/>
        <v>#NUM!</v>
      </c>
      <c r="AH269" t="e">
        <f t="shared" si="173"/>
        <v>#NUM!</v>
      </c>
      <c r="AI269" t="e">
        <f t="shared" si="174"/>
        <v>#NUM!</v>
      </c>
      <c r="AJ269" t="str">
        <f t="shared" si="175"/>
        <v>C00942</v>
      </c>
      <c r="AL269" t="e">
        <f t="shared" si="176"/>
        <v>#NUM!</v>
      </c>
      <c r="AM269" t="e">
        <f t="shared" si="177"/>
        <v>#NUM!</v>
      </c>
      <c r="AN269" t="e">
        <f t="shared" si="178"/>
        <v>#NUM!</v>
      </c>
      <c r="AO269" t="e">
        <f t="shared" si="179"/>
        <v>#NUM!</v>
      </c>
      <c r="AP269" t="e">
        <f t="shared" si="180"/>
        <v>#NUM!</v>
      </c>
      <c r="AQ269" t="e">
        <f t="shared" si="181"/>
        <v>#NUM!</v>
      </c>
      <c r="AR269" t="e">
        <f t="shared" si="182"/>
        <v>#NUM!</v>
      </c>
      <c r="AS269" t="e">
        <f t="shared" si="183"/>
        <v>#NUM!</v>
      </c>
      <c r="AT269" t="e">
        <f t="shared" si="184"/>
        <v>#NUM!</v>
      </c>
      <c r="AU269" t="e">
        <f t="shared" si="185"/>
        <v>#NUM!</v>
      </c>
      <c r="AV269" t="e">
        <f t="shared" si="186"/>
        <v>#NUM!</v>
      </c>
      <c r="AW269" t="e">
        <f t="shared" si="187"/>
        <v>#NUM!</v>
      </c>
      <c r="AX269" t="e">
        <f t="shared" si="188"/>
        <v>#NUM!</v>
      </c>
      <c r="AY269" t="e">
        <f t="shared" si="189"/>
        <v>#NUM!</v>
      </c>
      <c r="AZ269" t="e">
        <f t="shared" si="190"/>
        <v>#NUM!</v>
      </c>
      <c r="BA269" t="e">
        <f t="shared" si="191"/>
        <v>#NUM!</v>
      </c>
      <c r="BB269" t="e">
        <f t="shared" si="192"/>
        <v>#NUM!</v>
      </c>
      <c r="BC269" t="e">
        <f t="shared" si="193"/>
        <v>#NUM!</v>
      </c>
      <c r="BD269" t="str">
        <f t="shared" si="194"/>
        <v>C00942</v>
      </c>
    </row>
    <row r="270" spans="1:56" x14ac:dyDescent="0.2">
      <c r="A270" t="s">
        <v>318</v>
      </c>
      <c r="B270">
        <v>36084.40625</v>
      </c>
      <c r="C270">
        <v>30941.212889999999</v>
      </c>
      <c r="D270">
        <v>29769.564450000002</v>
      </c>
      <c r="E270">
        <v>24217.677729999999</v>
      </c>
      <c r="F270">
        <v>22922.199219999999</v>
      </c>
      <c r="G270">
        <v>15275.98242</v>
      </c>
      <c r="H270">
        <v>13658.992190000001</v>
      </c>
      <c r="I270">
        <v>18299</v>
      </c>
      <c r="J270">
        <v>28643.460940000001</v>
      </c>
      <c r="N270">
        <v>18484.83008</v>
      </c>
      <c r="O270">
        <v>14057.45703</v>
      </c>
      <c r="P270">
        <v>16034.2207</v>
      </c>
      <c r="Q270">
        <v>20573.472659999999</v>
      </c>
      <c r="R270" s="2" t="s">
        <v>319</v>
      </c>
      <c r="S270" s="4" t="s">
        <v>422</v>
      </c>
      <c r="T270">
        <f t="shared" si="159"/>
        <v>4.5573195636044144</v>
      </c>
      <c r="U270">
        <f t="shared" si="160"/>
        <v>4.4905373339628882</v>
      </c>
      <c r="V270">
        <f t="shared" si="161"/>
        <v>4.4737724806546071</v>
      </c>
      <c r="W270">
        <f t="shared" si="162"/>
        <v>4.3841324956443337</v>
      </c>
      <c r="X270">
        <f t="shared" si="163"/>
        <v>4.3602562827234106</v>
      </c>
      <c r="Y270">
        <f t="shared" si="164"/>
        <v>4.1840091499041225</v>
      </c>
      <c r="Z270">
        <f t="shared" si="165"/>
        <v>4.1354186567050704</v>
      </c>
      <c r="AA270">
        <f t="shared" si="166"/>
        <v>4.26242735714309</v>
      </c>
      <c r="AB270">
        <f t="shared" si="167"/>
        <v>4.4570254918597714</v>
      </c>
      <c r="AC270" t="e">
        <f t="shared" si="168"/>
        <v>#NUM!</v>
      </c>
      <c r="AD270" t="e">
        <f t="shared" si="169"/>
        <v>#NUM!</v>
      </c>
      <c r="AE270" t="e">
        <f t="shared" si="170"/>
        <v>#NUM!</v>
      </c>
      <c r="AF270">
        <f t="shared" si="171"/>
        <v>4.2668154627177524</v>
      </c>
      <c r="AG270">
        <f t="shared" si="172"/>
        <v>4.1479067646578827</v>
      </c>
      <c r="AH270">
        <f t="shared" si="173"/>
        <v>4.2050478570668144</v>
      </c>
      <c r="AI270">
        <f t="shared" si="174"/>
        <v>4.3133076037892852</v>
      </c>
      <c r="AJ270" t="str">
        <f t="shared" si="175"/>
        <v>C00581</v>
      </c>
      <c r="AL270" t="e">
        <f t="shared" si="176"/>
        <v>#NUM!</v>
      </c>
      <c r="AM270" t="e">
        <f t="shared" si="177"/>
        <v>#NUM!</v>
      </c>
      <c r="AN270" t="e">
        <f t="shared" si="178"/>
        <v>#NUM!</v>
      </c>
      <c r="AO270" t="e">
        <f t="shared" si="179"/>
        <v>#NUM!</v>
      </c>
      <c r="AP270" t="e">
        <f t="shared" si="180"/>
        <v>#NUM!</v>
      </c>
      <c r="AQ270" t="e">
        <f t="shared" si="181"/>
        <v>#NUM!</v>
      </c>
      <c r="AR270" t="e">
        <f t="shared" si="182"/>
        <v>#NUM!</v>
      </c>
      <c r="AS270" t="e">
        <f t="shared" si="183"/>
        <v>#NUM!</v>
      </c>
      <c r="AT270" t="e">
        <f t="shared" si="184"/>
        <v>#NUM!</v>
      </c>
      <c r="AU270" t="e">
        <f t="shared" si="185"/>
        <v>#NUM!</v>
      </c>
      <c r="AV270" t="e">
        <f t="shared" si="186"/>
        <v>#NUM!</v>
      </c>
      <c r="AW270" t="e">
        <f t="shared" si="187"/>
        <v>#NUM!</v>
      </c>
      <c r="AX270" t="e">
        <f t="shared" si="188"/>
        <v>#NUM!</v>
      </c>
      <c r="AY270" t="e">
        <f t="shared" si="189"/>
        <v>#NUM!</v>
      </c>
      <c r="AZ270" t="e">
        <f t="shared" si="190"/>
        <v>#NUM!</v>
      </c>
      <c r="BA270" t="e">
        <f t="shared" si="191"/>
        <v>#NUM!</v>
      </c>
      <c r="BB270" t="e">
        <f t="shared" si="192"/>
        <v>#NUM!</v>
      </c>
      <c r="BC270" t="e">
        <f t="shared" si="193"/>
        <v>#NUM!</v>
      </c>
      <c r="BD270" t="str">
        <f t="shared" si="194"/>
        <v>C00581</v>
      </c>
    </row>
    <row r="271" spans="1:56" x14ac:dyDescent="0.2">
      <c r="A271" t="s">
        <v>192</v>
      </c>
      <c r="B271">
        <v>37005968</v>
      </c>
      <c r="C271">
        <v>25494658</v>
      </c>
      <c r="D271">
        <v>3939468.75</v>
      </c>
      <c r="E271">
        <v>21176942</v>
      </c>
      <c r="F271">
        <v>5619475.5</v>
      </c>
      <c r="G271">
        <v>11988883</v>
      </c>
      <c r="H271">
        <v>4072479.5</v>
      </c>
      <c r="I271">
        <v>5281220.5</v>
      </c>
      <c r="J271">
        <v>1387440.375</v>
      </c>
      <c r="K271">
        <v>867872.5625</v>
      </c>
      <c r="L271">
        <v>1329657.25</v>
      </c>
      <c r="M271">
        <v>1294240.375</v>
      </c>
      <c r="N271">
        <v>1642783.625</v>
      </c>
      <c r="O271">
        <v>924995.1875</v>
      </c>
      <c r="P271">
        <v>967255.6875</v>
      </c>
      <c r="Q271">
        <v>661887</v>
      </c>
      <c r="R271" s="2" t="s">
        <v>391</v>
      </c>
      <c r="S271" s="4" t="s">
        <v>422</v>
      </c>
      <c r="T271">
        <f t="shared" si="159"/>
        <v>7.5682717689442844</v>
      </c>
      <c r="U271">
        <f t="shared" si="160"/>
        <v>7.4064491904666996</v>
      </c>
      <c r="V271">
        <f t="shared" si="161"/>
        <v>6.5954376597698872</v>
      </c>
      <c r="W271">
        <f t="shared" si="162"/>
        <v>7.3258632471591225</v>
      </c>
      <c r="X271">
        <f t="shared" si="163"/>
        <v>6.7496957821018322</v>
      </c>
      <c r="Y271">
        <f t="shared" si="164"/>
        <v>7.078778721920016</v>
      </c>
      <c r="Z271">
        <f t="shared" si="165"/>
        <v>6.6098589068395315</v>
      </c>
      <c r="AA271">
        <f t="shared" si="166"/>
        <v>6.7227343004053894</v>
      </c>
      <c r="AB271">
        <f t="shared" si="167"/>
        <v>6.1422143284686683</v>
      </c>
      <c r="AC271">
        <f t="shared" si="168"/>
        <v>5.938455958510283</v>
      </c>
      <c r="AD271">
        <f t="shared" si="169"/>
        <v>6.1237397059164351</v>
      </c>
      <c r="AE271">
        <f t="shared" si="170"/>
        <v>6.1120149439069884</v>
      </c>
      <c r="AF271">
        <f t="shared" si="171"/>
        <v>6.2155803652264261</v>
      </c>
      <c r="AG271">
        <f t="shared" si="172"/>
        <v>5.9661394732280799</v>
      </c>
      <c r="AH271">
        <f t="shared" si="173"/>
        <v>5.9855412920687581</v>
      </c>
      <c r="AI271">
        <f t="shared" si="174"/>
        <v>5.8207838512744727</v>
      </c>
      <c r="AJ271" t="str">
        <f t="shared" si="175"/>
        <v>C06422</v>
      </c>
      <c r="AL271">
        <f t="shared" si="176"/>
        <v>6.5225974685129309</v>
      </c>
      <c r="AM271">
        <f t="shared" si="177"/>
        <v>0.57342279967596077</v>
      </c>
      <c r="AN271">
        <f t="shared" si="178"/>
        <v>1.8235659639314314</v>
      </c>
      <c r="AO271">
        <f t="shared" si="179"/>
        <v>1.5413613174314489</v>
      </c>
      <c r="AP271">
        <f t="shared" si="180"/>
        <v>0.12702702316356801</v>
      </c>
      <c r="AQ271">
        <f t="shared" si="181"/>
        <v>1.4008263694783576</v>
      </c>
      <c r="AR271">
        <f t="shared" si="182"/>
        <v>0.39603990932560368</v>
      </c>
      <c r="AS271">
        <f t="shared" si="183"/>
        <v>0.96993222753155472</v>
      </c>
      <c r="AT271">
        <f t="shared" si="184"/>
        <v>0.15217643661171432</v>
      </c>
      <c r="AU271">
        <f t="shared" si="185"/>
        <v>0.34902140620420952</v>
      </c>
      <c r="AV271">
        <f t="shared" si="186"/>
        <v>-0.66335545126426043</v>
      </c>
      <c r="AW271">
        <f t="shared" si="187"/>
        <v>-1.0186925080982903</v>
      </c>
      <c r="AX271">
        <f t="shared" si="188"/>
        <v>-0.69557360262251322</v>
      </c>
      <c r="AY271">
        <f t="shared" si="189"/>
        <v>-0.71602057825039611</v>
      </c>
      <c r="AZ271">
        <f t="shared" si="190"/>
        <v>-0.53541139881427646</v>
      </c>
      <c r="BA271">
        <f t="shared" si="191"/>
        <v>-0.97041484154327917</v>
      </c>
      <c r="BB271">
        <f t="shared" si="192"/>
        <v>-0.93657973967491592</v>
      </c>
      <c r="BC271">
        <f t="shared" si="193"/>
        <v>-1.2239025334099909</v>
      </c>
      <c r="BD271" t="str">
        <f t="shared" si="194"/>
        <v>C06422</v>
      </c>
    </row>
    <row r="272" spans="1:56" x14ac:dyDescent="0.2">
      <c r="A272" t="s">
        <v>194</v>
      </c>
      <c r="B272">
        <v>37005968</v>
      </c>
      <c r="C272">
        <v>25494658</v>
      </c>
      <c r="D272">
        <v>3939468.75</v>
      </c>
      <c r="E272">
        <v>21176942</v>
      </c>
      <c r="F272">
        <v>5619475.5</v>
      </c>
      <c r="G272">
        <v>11988883</v>
      </c>
      <c r="H272">
        <v>4072479.5</v>
      </c>
      <c r="I272">
        <v>5281220.5</v>
      </c>
      <c r="J272">
        <v>1387440.375</v>
      </c>
      <c r="K272">
        <v>867872.5625</v>
      </c>
      <c r="L272">
        <v>1329657.25</v>
      </c>
      <c r="M272">
        <v>1294240.375</v>
      </c>
      <c r="N272">
        <v>1642783.625</v>
      </c>
      <c r="O272">
        <v>924995.1875</v>
      </c>
      <c r="P272">
        <v>967255.6875</v>
      </c>
      <c r="Q272">
        <v>661887</v>
      </c>
      <c r="R272" s="2" t="s">
        <v>392</v>
      </c>
      <c r="S272" s="4" t="s">
        <v>422</v>
      </c>
      <c r="T272">
        <f t="shared" si="159"/>
        <v>7.5682717689442844</v>
      </c>
      <c r="U272">
        <f t="shared" si="160"/>
        <v>7.4064491904666996</v>
      </c>
      <c r="V272">
        <f t="shared" si="161"/>
        <v>6.5954376597698872</v>
      </c>
      <c r="W272">
        <f t="shared" si="162"/>
        <v>7.3258632471591225</v>
      </c>
      <c r="X272">
        <f t="shared" si="163"/>
        <v>6.7496957821018322</v>
      </c>
      <c r="Y272">
        <f t="shared" si="164"/>
        <v>7.078778721920016</v>
      </c>
      <c r="Z272">
        <f t="shared" si="165"/>
        <v>6.6098589068395315</v>
      </c>
      <c r="AA272">
        <f t="shared" si="166"/>
        <v>6.7227343004053894</v>
      </c>
      <c r="AB272">
        <f t="shared" si="167"/>
        <v>6.1422143284686683</v>
      </c>
      <c r="AC272">
        <f t="shared" si="168"/>
        <v>5.938455958510283</v>
      </c>
      <c r="AD272">
        <f t="shared" si="169"/>
        <v>6.1237397059164351</v>
      </c>
      <c r="AE272">
        <f t="shared" si="170"/>
        <v>6.1120149439069884</v>
      </c>
      <c r="AF272">
        <f t="shared" si="171"/>
        <v>6.2155803652264261</v>
      </c>
      <c r="AG272">
        <f t="shared" si="172"/>
        <v>5.9661394732280799</v>
      </c>
      <c r="AH272">
        <f t="shared" si="173"/>
        <v>5.9855412920687581</v>
      </c>
      <c r="AI272">
        <f t="shared" si="174"/>
        <v>5.8207838512744727</v>
      </c>
      <c r="AJ272" t="str">
        <f t="shared" si="175"/>
        <v>C01971</v>
      </c>
      <c r="AL272">
        <f t="shared" si="176"/>
        <v>6.5225974685129309</v>
      </c>
      <c r="AM272">
        <f t="shared" si="177"/>
        <v>0.57342279967596077</v>
      </c>
      <c r="AN272">
        <f t="shared" si="178"/>
        <v>1.8235659639314314</v>
      </c>
      <c r="AO272">
        <f t="shared" si="179"/>
        <v>1.5413613174314489</v>
      </c>
      <c r="AP272">
        <f t="shared" si="180"/>
        <v>0.12702702316356801</v>
      </c>
      <c r="AQ272">
        <f t="shared" si="181"/>
        <v>1.4008263694783576</v>
      </c>
      <c r="AR272">
        <f t="shared" si="182"/>
        <v>0.39603990932560368</v>
      </c>
      <c r="AS272">
        <f t="shared" si="183"/>
        <v>0.96993222753155472</v>
      </c>
      <c r="AT272">
        <f t="shared" si="184"/>
        <v>0.15217643661171432</v>
      </c>
      <c r="AU272">
        <f t="shared" si="185"/>
        <v>0.34902140620420952</v>
      </c>
      <c r="AV272">
        <f t="shared" si="186"/>
        <v>-0.66335545126426043</v>
      </c>
      <c r="AW272">
        <f t="shared" si="187"/>
        <v>-1.0186925080982903</v>
      </c>
      <c r="AX272">
        <f t="shared" si="188"/>
        <v>-0.69557360262251322</v>
      </c>
      <c r="AY272">
        <f t="shared" si="189"/>
        <v>-0.71602057825039611</v>
      </c>
      <c r="AZ272">
        <f t="shared" si="190"/>
        <v>-0.53541139881427646</v>
      </c>
      <c r="BA272">
        <f t="shared" si="191"/>
        <v>-0.97041484154327917</v>
      </c>
      <c r="BB272">
        <f t="shared" si="192"/>
        <v>-0.93657973967491592</v>
      </c>
      <c r="BC272">
        <f t="shared" si="193"/>
        <v>-1.2239025334099909</v>
      </c>
      <c r="BD272" t="str">
        <f t="shared" si="194"/>
        <v>C01971</v>
      </c>
    </row>
    <row r="273" spans="1:56" x14ac:dyDescent="0.2">
      <c r="A273" t="s">
        <v>193</v>
      </c>
      <c r="D273">
        <v>25243.140619999998</v>
      </c>
      <c r="I273">
        <v>27378.693360000001</v>
      </c>
      <c r="J273">
        <v>39311.121090000001</v>
      </c>
      <c r="R273" s="2"/>
      <c r="S273" s="4" t="s">
        <v>422</v>
      </c>
      <c r="T273" t="e">
        <f t="shared" si="159"/>
        <v>#NUM!</v>
      </c>
      <c r="U273" t="e">
        <f t="shared" si="160"/>
        <v>#NUM!</v>
      </c>
      <c r="V273">
        <f t="shared" si="161"/>
        <v>4.402143386589696</v>
      </c>
      <c r="W273" t="e">
        <f t="shared" si="162"/>
        <v>#NUM!</v>
      </c>
      <c r="X273" t="e">
        <f t="shared" si="163"/>
        <v>#NUM!</v>
      </c>
      <c r="Y273" t="e">
        <f t="shared" si="164"/>
        <v>#NUM!</v>
      </c>
      <c r="Z273" t="e">
        <f t="shared" si="165"/>
        <v>#NUM!</v>
      </c>
      <c r="AA273">
        <f t="shared" si="166"/>
        <v>4.437412717717522</v>
      </c>
      <c r="AB273">
        <f t="shared" si="167"/>
        <v>4.5945154293774051</v>
      </c>
      <c r="AC273" t="e">
        <f t="shared" si="168"/>
        <v>#NUM!</v>
      </c>
      <c r="AD273" t="e">
        <f t="shared" si="169"/>
        <v>#NUM!</v>
      </c>
      <c r="AE273" t="e">
        <f t="shared" si="170"/>
        <v>#NUM!</v>
      </c>
      <c r="AF273" t="e">
        <f t="shared" si="171"/>
        <v>#NUM!</v>
      </c>
      <c r="AG273" t="e">
        <f t="shared" si="172"/>
        <v>#NUM!</v>
      </c>
      <c r="AH273" t="e">
        <f t="shared" si="173"/>
        <v>#NUM!</v>
      </c>
      <c r="AI273" t="e">
        <f t="shared" si="174"/>
        <v>#NUM!</v>
      </c>
      <c r="AJ273">
        <f t="shared" si="175"/>
        <v>0</v>
      </c>
      <c r="AL273" t="e">
        <f t="shared" si="176"/>
        <v>#NUM!</v>
      </c>
      <c r="AM273" t="e">
        <f t="shared" si="177"/>
        <v>#NUM!</v>
      </c>
      <c r="AN273" t="e">
        <f t="shared" si="178"/>
        <v>#NUM!</v>
      </c>
      <c r="AO273" t="e">
        <f t="shared" si="179"/>
        <v>#NUM!</v>
      </c>
      <c r="AP273" t="e">
        <f t="shared" si="180"/>
        <v>#NUM!</v>
      </c>
      <c r="AQ273" t="e">
        <f t="shared" si="181"/>
        <v>#NUM!</v>
      </c>
      <c r="AR273" t="e">
        <f t="shared" si="182"/>
        <v>#NUM!</v>
      </c>
      <c r="AS273" t="e">
        <f t="shared" si="183"/>
        <v>#NUM!</v>
      </c>
      <c r="AT273" t="e">
        <f t="shared" si="184"/>
        <v>#NUM!</v>
      </c>
      <c r="AU273" t="e">
        <f t="shared" si="185"/>
        <v>#NUM!</v>
      </c>
      <c r="AV273" t="e">
        <f t="shared" si="186"/>
        <v>#NUM!</v>
      </c>
      <c r="AW273" t="e">
        <f t="shared" si="187"/>
        <v>#NUM!</v>
      </c>
      <c r="AX273" t="e">
        <f t="shared" si="188"/>
        <v>#NUM!</v>
      </c>
      <c r="AY273" t="e">
        <f t="shared" si="189"/>
        <v>#NUM!</v>
      </c>
      <c r="AZ273" t="e">
        <f t="shared" si="190"/>
        <v>#NUM!</v>
      </c>
      <c r="BA273" t="e">
        <f t="shared" si="191"/>
        <v>#NUM!</v>
      </c>
      <c r="BB273" t="e">
        <f t="shared" si="192"/>
        <v>#NUM!</v>
      </c>
      <c r="BC273" t="e">
        <f t="shared" si="193"/>
        <v>#NUM!</v>
      </c>
      <c r="BD273">
        <f t="shared" si="194"/>
        <v>0</v>
      </c>
    </row>
    <row r="274" spans="1:56" x14ac:dyDescent="0.2">
      <c r="A274" t="s">
        <v>320</v>
      </c>
      <c r="B274">
        <v>12373497</v>
      </c>
      <c r="C274">
        <v>7605753.5</v>
      </c>
      <c r="D274">
        <v>1128561.375</v>
      </c>
      <c r="E274">
        <v>4295653.5</v>
      </c>
      <c r="F274">
        <v>280474.5</v>
      </c>
      <c r="G274">
        <v>548568.1875</v>
      </c>
      <c r="H274">
        <v>173751.0938</v>
      </c>
      <c r="I274">
        <v>169752.82810000001</v>
      </c>
      <c r="J274">
        <v>164571.01560000001</v>
      </c>
      <c r="K274">
        <v>74425.328120000006</v>
      </c>
      <c r="L274">
        <v>131562.60939999999</v>
      </c>
      <c r="M274">
        <v>125943.17969999999</v>
      </c>
      <c r="N274">
        <v>145007.6562</v>
      </c>
      <c r="O274">
        <v>80700.257809999996</v>
      </c>
      <c r="P274">
        <v>68729.59375</v>
      </c>
      <c r="Q274">
        <v>66244.101559999996</v>
      </c>
      <c r="R274" s="2" t="s">
        <v>410</v>
      </c>
      <c r="S274" s="4" t="s">
        <v>422</v>
      </c>
      <c r="T274">
        <f t="shared" si="159"/>
        <v>7.0924924573632699</v>
      </c>
      <c r="U274">
        <f t="shared" si="160"/>
        <v>6.8811422459605813</v>
      </c>
      <c r="V274">
        <f t="shared" si="161"/>
        <v>6.0525251824647546</v>
      </c>
      <c r="W274">
        <f t="shared" si="162"/>
        <v>6.6330292426386555</v>
      </c>
      <c r="X274">
        <f t="shared" si="163"/>
        <v>5.4478933824809292</v>
      </c>
      <c r="Y274">
        <f t="shared" si="164"/>
        <v>5.7392306184456787</v>
      </c>
      <c r="Z274">
        <f t="shared" si="165"/>
        <v>5.2399275472466647</v>
      </c>
      <c r="AA274">
        <f t="shared" si="166"/>
        <v>5.229817018404634</v>
      </c>
      <c r="AB274">
        <f t="shared" si="167"/>
        <v>5.2163533492638532</v>
      </c>
      <c r="AC274">
        <f t="shared" si="168"/>
        <v>4.8717207580032271</v>
      </c>
      <c r="AD274">
        <f t="shared" si="169"/>
        <v>5.1191324786505579</v>
      </c>
      <c r="AE274">
        <f t="shared" si="170"/>
        <v>5.1001746537804937</v>
      </c>
      <c r="AF274">
        <f t="shared" si="171"/>
        <v>5.1613909329772643</v>
      </c>
      <c r="AG274">
        <f t="shared" si="172"/>
        <v>4.9068749221481118</v>
      </c>
      <c r="AH274">
        <f t="shared" si="173"/>
        <v>4.8371437768691257</v>
      </c>
      <c r="AI274">
        <f t="shared" si="174"/>
        <v>4.8211472143222522</v>
      </c>
      <c r="AJ274" t="str">
        <f t="shared" si="175"/>
        <v>C01970</v>
      </c>
      <c r="AL274">
        <f t="shared" si="176"/>
        <v>5.5218747363137535</v>
      </c>
      <c r="AM274">
        <f t="shared" si="177"/>
        <v>0.74709820236129176</v>
      </c>
      <c r="AN274">
        <f t="shared" si="178"/>
        <v>2.1022908582638729</v>
      </c>
      <c r="AO274">
        <f t="shared" si="179"/>
        <v>1.8193960383664463</v>
      </c>
      <c r="AP274">
        <f t="shared" si="180"/>
        <v>0.71028205458642246</v>
      </c>
      <c r="AQ274">
        <f t="shared" si="181"/>
        <v>1.4872937758556606</v>
      </c>
      <c r="AR274">
        <f t="shared" si="182"/>
        <v>-9.9024938888886971E-2</v>
      </c>
      <c r="AS274">
        <f t="shared" si="183"/>
        <v>0.290933482967763</v>
      </c>
      <c r="AT274">
        <f t="shared" si="184"/>
        <v>-0.37738973026030792</v>
      </c>
      <c r="AU274">
        <f t="shared" si="185"/>
        <v>-0.390922795672693</v>
      </c>
      <c r="AV274">
        <f t="shared" si="186"/>
        <v>-0.4089440800208915</v>
      </c>
      <c r="AW274">
        <f t="shared" si="187"/>
        <v>-0.87023898097417207</v>
      </c>
      <c r="AX274">
        <f t="shared" si="188"/>
        <v>-0.53907539382410685</v>
      </c>
      <c r="AY274">
        <f t="shared" si="189"/>
        <v>-0.56445067221474632</v>
      </c>
      <c r="AZ274">
        <f t="shared" si="190"/>
        <v>-0.48251194046129109</v>
      </c>
      <c r="BA274">
        <f t="shared" si="191"/>
        <v>-0.82318470613617112</v>
      </c>
      <c r="BB274">
        <f t="shared" si="192"/>
        <v>-0.91652068935577014</v>
      </c>
      <c r="BC274">
        <f t="shared" si="193"/>
        <v>-0.93793228223113034</v>
      </c>
      <c r="BD274" t="str">
        <f t="shared" si="194"/>
        <v>C01970</v>
      </c>
    </row>
    <row r="275" spans="1:56" x14ac:dyDescent="0.2">
      <c r="A275" t="s">
        <v>197</v>
      </c>
      <c r="B275">
        <v>392053888</v>
      </c>
      <c r="C275">
        <v>406788288</v>
      </c>
      <c r="D275">
        <v>290111264</v>
      </c>
      <c r="E275">
        <v>198324320</v>
      </c>
      <c r="F275">
        <v>237994928</v>
      </c>
      <c r="G275">
        <v>189885632</v>
      </c>
      <c r="H275">
        <v>160636560</v>
      </c>
      <c r="I275">
        <v>198519264</v>
      </c>
      <c r="J275">
        <v>83789040</v>
      </c>
      <c r="K275">
        <v>43971632</v>
      </c>
      <c r="L275">
        <v>58960520</v>
      </c>
      <c r="M275">
        <v>82355272</v>
      </c>
      <c r="N275">
        <v>99971704</v>
      </c>
      <c r="O275">
        <v>106006384</v>
      </c>
      <c r="P275">
        <v>117176896</v>
      </c>
      <c r="Q275">
        <v>95690688</v>
      </c>
      <c r="R275" s="2" t="s">
        <v>198</v>
      </c>
      <c r="S275" s="4" t="s">
        <v>422</v>
      </c>
      <c r="T275">
        <f t="shared" si="159"/>
        <v>8.593345765113753</v>
      </c>
      <c r="U275">
        <f t="shared" si="160"/>
        <v>8.6093684404891668</v>
      </c>
      <c r="V275">
        <f t="shared" si="161"/>
        <v>8.4625645912572498</v>
      </c>
      <c r="W275">
        <f t="shared" si="162"/>
        <v>8.2973759738834438</v>
      </c>
      <c r="X275">
        <f t="shared" si="163"/>
        <v>8.3765677017410347</v>
      </c>
      <c r="Y275">
        <f t="shared" si="164"/>
        <v>8.2784921043937434</v>
      </c>
      <c r="Z275">
        <f t="shared" si="165"/>
        <v>8.205844395234509</v>
      </c>
      <c r="AA275">
        <f t="shared" si="166"/>
        <v>8.2978026564037304</v>
      </c>
      <c r="AB275">
        <f t="shared" si="167"/>
        <v>7.9231872145871431</v>
      </c>
      <c r="AC275">
        <f t="shared" si="168"/>
        <v>7.6431725846881937</v>
      </c>
      <c r="AD275">
        <f t="shared" si="169"/>
        <v>7.770561305111082</v>
      </c>
      <c r="AE275">
        <f t="shared" si="170"/>
        <v>7.9156914059007004</v>
      </c>
      <c r="AF275">
        <f t="shared" si="171"/>
        <v>7.9998770946439306</v>
      </c>
      <c r="AG275">
        <f t="shared" si="172"/>
        <v>8.0253320204769008</v>
      </c>
      <c r="AH275">
        <f t="shared" si="173"/>
        <v>8.0688419894222534</v>
      </c>
      <c r="AI275">
        <f t="shared" si="174"/>
        <v>7.9808696770978012</v>
      </c>
      <c r="AJ275" t="str">
        <f t="shared" si="175"/>
        <v>C00064</v>
      </c>
      <c r="AL275">
        <f t="shared" si="176"/>
        <v>8.1530559325277903</v>
      </c>
      <c r="AM275">
        <f t="shared" si="177"/>
        <v>0.28285591963350259</v>
      </c>
      <c r="AN275">
        <f t="shared" si="178"/>
        <v>1.5565869477168723</v>
      </c>
      <c r="AO275">
        <f t="shared" si="179"/>
        <v>1.6132330147186678</v>
      </c>
      <c r="AP275">
        <f t="shared" si="180"/>
        <v>1.0942272628781855</v>
      </c>
      <c r="AQ275">
        <f t="shared" si="181"/>
        <v>0.51022457490954953</v>
      </c>
      <c r="AR275">
        <f t="shared" si="182"/>
        <v>0.79019654070824974</v>
      </c>
      <c r="AS275">
        <f t="shared" si="183"/>
        <v>0.44346313143624927</v>
      </c>
      <c r="AT275">
        <f t="shared" si="184"/>
        <v>0.18662668532840668</v>
      </c>
      <c r="AU275">
        <f t="shared" si="185"/>
        <v>0.51173305498958255</v>
      </c>
      <c r="AV275">
        <f t="shared" si="186"/>
        <v>-0.81267069905586142</v>
      </c>
      <c r="AW275">
        <f t="shared" si="187"/>
        <v>-1.8026256919079302</v>
      </c>
      <c r="AX275">
        <f t="shared" si="188"/>
        <v>-1.3522595811758436</v>
      </c>
      <c r="AY275">
        <f t="shared" si="189"/>
        <v>-0.8391711473977419</v>
      </c>
      <c r="AZ275">
        <f t="shared" si="190"/>
        <v>-0.5415436879749026</v>
      </c>
      <c r="BA275">
        <f t="shared" si="191"/>
        <v>-0.45155113676384018</v>
      </c>
      <c r="BB275">
        <f t="shared" si="192"/>
        <v>-0.29772734901448472</v>
      </c>
      <c r="BC275">
        <f t="shared" si="193"/>
        <v>-0.60874191939518696</v>
      </c>
      <c r="BD275" t="str">
        <f t="shared" si="194"/>
        <v>C00064</v>
      </c>
    </row>
    <row r="276" spans="1:56" x14ac:dyDescent="0.2">
      <c r="A276" t="s">
        <v>199</v>
      </c>
      <c r="B276">
        <v>53923940</v>
      </c>
      <c r="C276">
        <v>36518832</v>
      </c>
      <c r="D276">
        <v>75906056</v>
      </c>
      <c r="E276">
        <v>36965440</v>
      </c>
      <c r="F276">
        <v>52950648</v>
      </c>
      <c r="G276">
        <v>40333928</v>
      </c>
      <c r="H276">
        <v>45804844</v>
      </c>
      <c r="I276">
        <v>48600988</v>
      </c>
      <c r="J276">
        <v>13173094</v>
      </c>
      <c r="K276">
        <v>9633084</v>
      </c>
      <c r="L276">
        <v>9262064</v>
      </c>
      <c r="M276">
        <v>13043143</v>
      </c>
      <c r="N276">
        <v>13591079</v>
      </c>
      <c r="O276">
        <v>16796592</v>
      </c>
      <c r="P276">
        <v>13660663</v>
      </c>
      <c r="Q276">
        <v>14249391</v>
      </c>
      <c r="R276" s="2" t="s">
        <v>200</v>
      </c>
      <c r="S276" s="4" t="s">
        <v>422</v>
      </c>
      <c r="T276">
        <f t="shared" si="159"/>
        <v>7.7317816167940459</v>
      </c>
      <c r="U276">
        <f t="shared" si="160"/>
        <v>7.5625168788275765</v>
      </c>
      <c r="V276">
        <f t="shared" si="161"/>
        <v>7.8802764265207994</v>
      </c>
      <c r="W276">
        <f t="shared" si="162"/>
        <v>7.56779587997584</v>
      </c>
      <c r="X276">
        <f t="shared" si="163"/>
        <v>7.7238712792896278</v>
      </c>
      <c r="Y276">
        <f t="shared" si="164"/>
        <v>7.6056705187012845</v>
      </c>
      <c r="Z276">
        <f t="shared" si="165"/>
        <v>7.6609114083800467</v>
      </c>
      <c r="AA276">
        <f t="shared" si="166"/>
        <v>7.686645098039798</v>
      </c>
      <c r="AB276">
        <f t="shared" si="167"/>
        <v>7.119687790855072</v>
      </c>
      <c r="AC276">
        <f t="shared" si="168"/>
        <v>6.9837653473283554</v>
      </c>
      <c r="AD276">
        <f t="shared" si="169"/>
        <v>6.9667077776026822</v>
      </c>
      <c r="AE276">
        <f t="shared" si="170"/>
        <v>7.1153822557427731</v>
      </c>
      <c r="AF276">
        <f t="shared" si="171"/>
        <v>7.1332539368755539</v>
      </c>
      <c r="AG276">
        <f t="shared" si="172"/>
        <v>7.2252211730510663</v>
      </c>
      <c r="AH276">
        <f t="shared" si="173"/>
        <v>7.1354717776950078</v>
      </c>
      <c r="AI276">
        <f t="shared" si="174"/>
        <v>7.1537963035732117</v>
      </c>
      <c r="AJ276" t="str">
        <f t="shared" si="175"/>
        <v>C00065</v>
      </c>
      <c r="AL276">
        <f t="shared" si="176"/>
        <v>7.3907972168282958</v>
      </c>
      <c r="AM276">
        <f t="shared" si="177"/>
        <v>0.31029641055162305</v>
      </c>
      <c r="AN276">
        <f t="shared" si="178"/>
        <v>1.0988989507148086</v>
      </c>
      <c r="AO276">
        <f t="shared" si="179"/>
        <v>0.55340524788543188</v>
      </c>
      <c r="AP276">
        <f t="shared" si="180"/>
        <v>1.5774568865374305</v>
      </c>
      <c r="AQ276">
        <f t="shared" si="181"/>
        <v>0.57041801686615867</v>
      </c>
      <c r="AR276">
        <f t="shared" si="182"/>
        <v>1.073406108273107</v>
      </c>
      <c r="AS276">
        <f t="shared" si="183"/>
        <v>0.69247756198984745</v>
      </c>
      <c r="AT276">
        <f t="shared" si="184"/>
        <v>0.87050375823413795</v>
      </c>
      <c r="AU276">
        <f t="shared" si="185"/>
        <v>0.95343636326815617</v>
      </c>
      <c r="AV276">
        <f t="shared" si="186"/>
        <v>-0.87371112508605775</v>
      </c>
      <c r="AW276">
        <f t="shared" si="187"/>
        <v>-1.3117517820343068</v>
      </c>
      <c r="AX276">
        <f t="shared" si="188"/>
        <v>-1.3667236384452444</v>
      </c>
      <c r="AY276">
        <f t="shared" si="189"/>
        <v>-0.88758668073507363</v>
      </c>
      <c r="AZ276">
        <f t="shared" si="190"/>
        <v>-0.82999116713886478</v>
      </c>
      <c r="BA276">
        <f t="shared" si="191"/>
        <v>-0.53360605584473297</v>
      </c>
      <c r="BB276">
        <f t="shared" si="192"/>
        <v>-0.82284367608180975</v>
      </c>
      <c r="BC276">
        <f t="shared" si="193"/>
        <v>-0.76378876840296228</v>
      </c>
      <c r="BD276" t="str">
        <f t="shared" si="194"/>
        <v>C00065</v>
      </c>
    </row>
    <row r="277" spans="1:56" x14ac:dyDescent="0.2">
      <c r="A277" t="s">
        <v>205</v>
      </c>
      <c r="B277">
        <v>33797328</v>
      </c>
      <c r="C277">
        <v>29475900</v>
      </c>
      <c r="D277">
        <v>35584524</v>
      </c>
      <c r="E277">
        <v>21194126</v>
      </c>
      <c r="F277">
        <v>21933260</v>
      </c>
      <c r="G277">
        <v>18170212</v>
      </c>
      <c r="H277">
        <v>19211512</v>
      </c>
      <c r="I277">
        <v>20944096</v>
      </c>
      <c r="J277">
        <v>9590459</v>
      </c>
      <c r="K277">
        <v>5245517</v>
      </c>
      <c r="L277">
        <v>5852244</v>
      </c>
      <c r="M277">
        <v>7467336</v>
      </c>
      <c r="N277">
        <v>7618054</v>
      </c>
      <c r="O277">
        <v>11279867</v>
      </c>
      <c r="P277">
        <v>10042433</v>
      </c>
      <c r="Q277">
        <v>7268639</v>
      </c>
      <c r="R277" s="2" t="s">
        <v>206</v>
      </c>
      <c r="S277" s="4" t="s">
        <v>422</v>
      </c>
      <c r="T277">
        <f t="shared" si="159"/>
        <v>7.5288823665283608</v>
      </c>
      <c r="U277">
        <f t="shared" si="160"/>
        <v>7.4694670744648848</v>
      </c>
      <c r="V277">
        <f t="shared" si="161"/>
        <v>7.5512611608175453</v>
      </c>
      <c r="W277">
        <f t="shared" si="162"/>
        <v>7.3262155119066712</v>
      </c>
      <c r="X277">
        <f t="shared" si="163"/>
        <v>7.341103186843446</v>
      </c>
      <c r="Y277">
        <f t="shared" si="164"/>
        <v>7.2593599944457914</v>
      </c>
      <c r="Z277">
        <f t="shared" si="165"/>
        <v>7.2835615464033765</v>
      </c>
      <c r="AA277">
        <f t="shared" si="166"/>
        <v>7.3210616198567333</v>
      </c>
      <c r="AB277">
        <f t="shared" si="167"/>
        <v>6.9818393930306089</v>
      </c>
      <c r="AC277">
        <f t="shared" si="168"/>
        <v>6.7197882988559616</v>
      </c>
      <c r="AD277">
        <f t="shared" si="169"/>
        <v>6.7673224250480226</v>
      </c>
      <c r="AE277">
        <f t="shared" si="170"/>
        <v>6.8731656932678433</v>
      </c>
      <c r="AF277">
        <f t="shared" si="171"/>
        <v>6.8818440467994488</v>
      </c>
      <c r="AG277">
        <f t="shared" si="172"/>
        <v>7.0523039789463819</v>
      </c>
      <c r="AH277">
        <f t="shared" si="173"/>
        <v>7.0018389429352146</v>
      </c>
      <c r="AI277">
        <f t="shared" si="174"/>
        <v>6.8614530999754546</v>
      </c>
      <c r="AJ277" t="str">
        <f t="shared" si="175"/>
        <v>C00152</v>
      </c>
      <c r="AL277">
        <f t="shared" si="176"/>
        <v>7.1387792712578575</v>
      </c>
      <c r="AM277">
        <f t="shared" si="177"/>
        <v>0.27740973395207957</v>
      </c>
      <c r="AN277">
        <f t="shared" si="178"/>
        <v>1.4062343440980003</v>
      </c>
      <c r="AO277">
        <f t="shared" si="179"/>
        <v>1.1920555147648535</v>
      </c>
      <c r="AP277">
        <f t="shared" si="180"/>
        <v>1.4869048886040204</v>
      </c>
      <c r="AQ277">
        <f t="shared" si="181"/>
        <v>0.67566569484974126</v>
      </c>
      <c r="AR277">
        <f t="shared" si="182"/>
        <v>0.72933243078102805</v>
      </c>
      <c r="AS277">
        <f t="shared" si="183"/>
        <v>0.43466651825837982</v>
      </c>
      <c r="AT277">
        <f t="shared" si="184"/>
        <v>0.52190769618246002</v>
      </c>
      <c r="AU277">
        <f t="shared" si="185"/>
        <v>0.65708706757335245</v>
      </c>
      <c r="AV277">
        <f t="shared" si="186"/>
        <v>-0.56573313413133086</v>
      </c>
      <c r="AW277">
        <f t="shared" si="187"/>
        <v>-1.5103686753626078</v>
      </c>
      <c r="AX277">
        <f t="shared" si="188"/>
        <v>-1.3390187897083714</v>
      </c>
      <c r="AY277">
        <f t="shared" si="189"/>
        <v>-0.95747749801705551</v>
      </c>
      <c r="AZ277">
        <f t="shared" si="190"/>
        <v>-0.92619397595757136</v>
      </c>
      <c r="BA277">
        <f t="shared" si="191"/>
        <v>-0.31172407355544884</v>
      </c>
      <c r="BB277">
        <f t="shared" si="192"/>
        <v>-0.49363923310022828</v>
      </c>
      <c r="BC277">
        <f t="shared" si="193"/>
        <v>-0.99969877527912876</v>
      </c>
      <c r="BD277" t="str">
        <f t="shared" si="194"/>
        <v>C00152</v>
      </c>
    </row>
    <row r="278" spans="1:56" x14ac:dyDescent="0.2">
      <c r="A278" t="s">
        <v>322</v>
      </c>
      <c r="B278">
        <v>1092949</v>
      </c>
      <c r="C278">
        <v>985405.875</v>
      </c>
      <c r="D278">
        <v>1316305</v>
      </c>
      <c r="E278">
        <v>854577.375</v>
      </c>
      <c r="F278">
        <v>913870.9375</v>
      </c>
      <c r="G278">
        <v>700343.625</v>
      </c>
      <c r="H278">
        <v>855876.9375</v>
      </c>
      <c r="I278">
        <v>918585.9375</v>
      </c>
      <c r="J278">
        <v>1667763.5</v>
      </c>
      <c r="K278">
        <v>1305358.125</v>
      </c>
      <c r="L278">
        <v>1628831</v>
      </c>
      <c r="M278">
        <v>1868550.75</v>
      </c>
      <c r="N278">
        <v>1254921.125</v>
      </c>
      <c r="O278">
        <v>1368838.375</v>
      </c>
      <c r="P278">
        <v>1191678.5</v>
      </c>
      <c r="Q278">
        <v>1272748.25</v>
      </c>
      <c r="R278" s="2" t="s">
        <v>323</v>
      </c>
      <c r="S278" s="4" t="s">
        <v>422</v>
      </c>
      <c r="T278">
        <f t="shared" si="159"/>
        <v>6.0385998970500356</v>
      </c>
      <c r="U278">
        <f t="shared" si="160"/>
        <v>5.9936151472147934</v>
      </c>
      <c r="V278">
        <f t="shared" si="161"/>
        <v>6.1193565309722491</v>
      </c>
      <c r="W278">
        <f t="shared" si="162"/>
        <v>5.9317513906544486</v>
      </c>
      <c r="X278">
        <f t="shared" si="163"/>
        <v>5.9608848663144354</v>
      </c>
      <c r="Y278">
        <f t="shared" si="164"/>
        <v>5.8453111797632085</v>
      </c>
      <c r="Z278">
        <f t="shared" si="165"/>
        <v>5.9324113240149767</v>
      </c>
      <c r="AA278">
        <f t="shared" si="166"/>
        <v>5.9631197925810344</v>
      </c>
      <c r="AB278">
        <f t="shared" si="167"/>
        <v>6.2221344648106207</v>
      </c>
      <c r="AC278">
        <f t="shared" si="168"/>
        <v>6.1157296767120908</v>
      </c>
      <c r="AD278">
        <f t="shared" si="169"/>
        <v>6.2118760262514723</v>
      </c>
      <c r="AE278">
        <f t="shared" si="170"/>
        <v>6.2715048978215373</v>
      </c>
      <c r="AF278">
        <f t="shared" si="171"/>
        <v>6.098616430156703</v>
      </c>
      <c r="AG278">
        <f t="shared" si="172"/>
        <v>6.1363521720277303</v>
      </c>
      <c r="AH278">
        <f t="shared" si="173"/>
        <v>6.0761591039706007</v>
      </c>
      <c r="AI278">
        <f t="shared" si="174"/>
        <v>6.1047425085647156</v>
      </c>
      <c r="AJ278" t="str">
        <f t="shared" si="175"/>
        <v>C00431</v>
      </c>
      <c r="AL278">
        <f t="shared" si="176"/>
        <v>6.0638853380550408</v>
      </c>
      <c r="AM278">
        <f t="shared" si="177"/>
        <v>0.11915031105783934</v>
      </c>
      <c r="AN278">
        <f t="shared" si="178"/>
        <v>-0.21221464535439466</v>
      </c>
      <c r="AO278">
        <f t="shared" si="179"/>
        <v>-0.58976086773400083</v>
      </c>
      <c r="AP278">
        <f t="shared" si="180"/>
        <v>0.4655564255327943</v>
      </c>
      <c r="AQ278">
        <f t="shared" si="181"/>
        <v>-1.1089685476058073</v>
      </c>
      <c r="AR278">
        <f t="shared" si="182"/>
        <v>-0.86445826977829499</v>
      </c>
      <c r="AS278">
        <f t="shared" si="183"/>
        <v>-1.8344405176225644</v>
      </c>
      <c r="AT278">
        <f t="shared" si="184"/>
        <v>-1.1034298850990194</v>
      </c>
      <c r="AU278">
        <f t="shared" si="185"/>
        <v>-0.84570106934166211</v>
      </c>
      <c r="AV278">
        <f t="shared" si="186"/>
        <v>1.3281469880406838</v>
      </c>
      <c r="AW278">
        <f t="shared" si="187"/>
        <v>0.43511710709578488</v>
      </c>
      <c r="AX278">
        <f t="shared" si="188"/>
        <v>1.2420503721940943</v>
      </c>
      <c r="AY278">
        <f t="shared" si="189"/>
        <v>1.7425011980515215</v>
      </c>
      <c r="AZ278">
        <f t="shared" si="190"/>
        <v>0.29148973085603253</v>
      </c>
      <c r="BA278">
        <f t="shared" si="191"/>
        <v>0.60819676700224301</v>
      </c>
      <c r="BB278">
        <f t="shared" si="192"/>
        <v>0.10301077526857455</v>
      </c>
      <c r="BC278">
        <f t="shared" si="193"/>
        <v>0.34290443849400759</v>
      </c>
      <c r="BD278" t="str">
        <f t="shared" si="194"/>
        <v>C00431</v>
      </c>
    </row>
    <row r="279" spans="1:56" x14ac:dyDescent="0.2">
      <c r="A279" t="s">
        <v>208</v>
      </c>
      <c r="B279">
        <v>118438088</v>
      </c>
      <c r="C279">
        <v>193148560</v>
      </c>
      <c r="D279">
        <v>151829328</v>
      </c>
      <c r="E279">
        <v>93919264</v>
      </c>
      <c r="F279">
        <v>90002000</v>
      </c>
      <c r="G279">
        <v>107382608</v>
      </c>
      <c r="H279">
        <v>113714936</v>
      </c>
      <c r="I279">
        <v>112622648</v>
      </c>
      <c r="J279">
        <v>40051640</v>
      </c>
      <c r="K279">
        <v>34821480</v>
      </c>
      <c r="L279">
        <v>36021492</v>
      </c>
      <c r="M279">
        <v>49504980</v>
      </c>
      <c r="N279">
        <v>62443912</v>
      </c>
      <c r="O279">
        <v>54797220</v>
      </c>
      <c r="P279">
        <v>72551000</v>
      </c>
      <c r="Q279">
        <v>56132096</v>
      </c>
      <c r="R279" s="2" t="s">
        <v>394</v>
      </c>
      <c r="S279" s="4" t="s">
        <v>422</v>
      </c>
      <c r="T279">
        <f t="shared" si="159"/>
        <v>8.073491387760221</v>
      </c>
      <c r="U279">
        <f t="shared" si="160"/>
        <v>8.2858914746533205</v>
      </c>
      <c r="V279">
        <f t="shared" si="161"/>
        <v>8.181355669835618</v>
      </c>
      <c r="W279">
        <f t="shared" si="162"/>
        <v>7.9727546805603628</v>
      </c>
      <c r="X279">
        <f t="shared" si="163"/>
        <v>7.9542521603205802</v>
      </c>
      <c r="Y279">
        <f t="shared" si="164"/>
        <v>8.0309339474597241</v>
      </c>
      <c r="Z279">
        <f t="shared" si="165"/>
        <v>8.0558175112696802</v>
      </c>
      <c r="AA279">
        <f t="shared" si="166"/>
        <v>8.0516257343197513</v>
      </c>
      <c r="AB279">
        <f t="shared" si="167"/>
        <v>7.6026203039001059</v>
      </c>
      <c r="AC279">
        <f t="shared" si="168"/>
        <v>7.5418472257753866</v>
      </c>
      <c r="AD279">
        <f t="shared" si="169"/>
        <v>7.5565616972105412</v>
      </c>
      <c r="AE279">
        <f t="shared" si="170"/>
        <v>7.69464888939281</v>
      </c>
      <c r="AF279">
        <f t="shared" si="171"/>
        <v>7.7954901030193628</v>
      </c>
      <c r="AG279">
        <f t="shared" si="172"/>
        <v>7.7387585261981497</v>
      </c>
      <c r="AH279">
        <f t="shared" si="173"/>
        <v>7.8606434028728431</v>
      </c>
      <c r="AI279">
        <f t="shared" si="174"/>
        <v>7.7492112592914468</v>
      </c>
      <c r="AJ279" t="str">
        <f t="shared" si="175"/>
        <v>C01083</v>
      </c>
      <c r="AL279">
        <f t="shared" si="176"/>
        <v>7.8841189983649933</v>
      </c>
      <c r="AM279">
        <f t="shared" si="177"/>
        <v>0.22580541207505048</v>
      </c>
      <c r="AN279">
        <f t="shared" si="178"/>
        <v>0.83865301391574443</v>
      </c>
      <c r="AO279">
        <f t="shared" si="179"/>
        <v>1.7792863005196304</v>
      </c>
      <c r="AP279">
        <f t="shared" si="180"/>
        <v>1.3163398907898309</v>
      </c>
      <c r="AQ279">
        <f t="shared" si="181"/>
        <v>0.39253125680579298</v>
      </c>
      <c r="AR279">
        <f t="shared" si="182"/>
        <v>0.31059114709029617</v>
      </c>
      <c r="AS279">
        <f t="shared" si="183"/>
        <v>0.65018348207674592</v>
      </c>
      <c r="AT279">
        <f t="shared" si="184"/>
        <v>0.76038262912679777</v>
      </c>
      <c r="AU279">
        <f t="shared" si="185"/>
        <v>0.74181896003043579</v>
      </c>
      <c r="AV279">
        <f t="shared" si="186"/>
        <v>-1.2466428146165347</v>
      </c>
      <c r="AW279">
        <f t="shared" si="187"/>
        <v>-1.5157819710532294</v>
      </c>
      <c r="AX279">
        <f t="shared" si="188"/>
        <v>-1.4506175832737906</v>
      </c>
      <c r="AY279">
        <f t="shared" si="189"/>
        <v>-0.83908577403454576</v>
      </c>
      <c r="AZ279">
        <f t="shared" si="190"/>
        <v>-0.39250120061857974</v>
      </c>
      <c r="BA279">
        <f t="shared" si="191"/>
        <v>-0.64374219745685457</v>
      </c>
      <c r="BB279">
        <f t="shared" si="192"/>
        <v>-0.10396383008015607</v>
      </c>
      <c r="BC279">
        <f t="shared" si="193"/>
        <v>-0.59745130922153211</v>
      </c>
      <c r="BD279" t="str">
        <f t="shared" si="194"/>
        <v>C01083</v>
      </c>
    </row>
    <row r="280" spans="1:56" x14ac:dyDescent="0.2">
      <c r="A280" t="s">
        <v>324</v>
      </c>
      <c r="B280">
        <v>598896.875</v>
      </c>
      <c r="C280">
        <v>717461.0625</v>
      </c>
      <c r="D280">
        <v>739911.625</v>
      </c>
      <c r="E280">
        <v>623436.8125</v>
      </c>
      <c r="F280">
        <v>509949.375</v>
      </c>
      <c r="G280">
        <v>439108.5625</v>
      </c>
      <c r="H280">
        <v>627633.125</v>
      </c>
      <c r="I280">
        <v>884286.5625</v>
      </c>
      <c r="J280">
        <v>251095.20310000001</v>
      </c>
      <c r="K280">
        <v>174066.98439999999</v>
      </c>
      <c r="L280">
        <v>153814.4688</v>
      </c>
      <c r="M280">
        <v>208058.6562</v>
      </c>
      <c r="N280">
        <v>287502.375</v>
      </c>
      <c r="O280">
        <v>192580.4375</v>
      </c>
      <c r="P280">
        <v>217832.92189999999</v>
      </c>
      <c r="Q280">
        <v>161425.5938</v>
      </c>
      <c r="R280" s="2" t="s">
        <v>411</v>
      </c>
      <c r="S280" s="4" t="s">
        <v>422</v>
      </c>
      <c r="T280">
        <f t="shared" si="159"/>
        <v>5.7773520469733439</v>
      </c>
      <c r="U280">
        <f t="shared" si="160"/>
        <v>5.8557983363464432</v>
      </c>
      <c r="V280">
        <f t="shared" si="161"/>
        <v>5.869179850721725</v>
      </c>
      <c r="W280">
        <f t="shared" si="162"/>
        <v>5.7947924427813637</v>
      </c>
      <c r="X280">
        <f t="shared" si="163"/>
        <v>5.7075270638441262</v>
      </c>
      <c r="Y280">
        <f t="shared" si="164"/>
        <v>5.6425719058136679</v>
      </c>
      <c r="Z280">
        <f t="shared" si="165"/>
        <v>5.7977058565609738</v>
      </c>
      <c r="AA280">
        <f t="shared" si="166"/>
        <v>5.9465930255845771</v>
      </c>
      <c r="AB280">
        <f t="shared" si="167"/>
        <v>5.3998384160697546</v>
      </c>
      <c r="AC280">
        <f t="shared" si="168"/>
        <v>5.2407164055078264</v>
      </c>
      <c r="AD280">
        <f t="shared" si="169"/>
        <v>5.1869971899806693</v>
      </c>
      <c r="AE280">
        <f t="shared" si="170"/>
        <v>5.3181857891589601</v>
      </c>
      <c r="AF280">
        <f t="shared" si="171"/>
        <v>5.4586414366608986</v>
      </c>
      <c r="AG280">
        <f t="shared" si="172"/>
        <v>5.28461216899154</v>
      </c>
      <c r="AH280">
        <f t="shared" si="173"/>
        <v>5.3381235169211774</v>
      </c>
      <c r="AI280">
        <f t="shared" si="174"/>
        <v>5.2079723926221799</v>
      </c>
      <c r="AJ280" t="str">
        <f t="shared" si="175"/>
        <v>C03570</v>
      </c>
      <c r="AL280">
        <f t="shared" si="176"/>
        <v>5.5516629902837016</v>
      </c>
      <c r="AM280">
        <f t="shared" si="177"/>
        <v>0.2712133631193448</v>
      </c>
      <c r="AN280">
        <f t="shared" si="178"/>
        <v>0.83214578401997863</v>
      </c>
      <c r="AO280">
        <f t="shared" si="179"/>
        <v>1.1213877611513923</v>
      </c>
      <c r="AP280">
        <f t="shared" si="180"/>
        <v>1.1707271971635971</v>
      </c>
      <c r="AQ280">
        <f t="shared" si="181"/>
        <v>0.8964508595790518</v>
      </c>
      <c r="AR280">
        <f t="shared" si="182"/>
        <v>0.57469171787025175</v>
      </c>
      <c r="AS280">
        <f t="shared" si="183"/>
        <v>0.33519334919335331</v>
      </c>
      <c r="AT280">
        <f t="shared" si="184"/>
        <v>0.90719300644859258</v>
      </c>
      <c r="AU280">
        <f t="shared" si="185"/>
        <v>1.456159942705664</v>
      </c>
      <c r="AV280">
        <f t="shared" si="186"/>
        <v>-0.55979754267173809</v>
      </c>
      <c r="AW280">
        <f t="shared" si="187"/>
        <v>-1.1465017106809969</v>
      </c>
      <c r="AX280">
        <f t="shared" si="188"/>
        <v>-1.3445716542461246</v>
      </c>
      <c r="AY280">
        <f t="shared" si="189"/>
        <v>-0.86086171580713045</v>
      </c>
      <c r="AZ280">
        <f t="shared" si="190"/>
        <v>-0.34298292883846482</v>
      </c>
      <c r="BA280">
        <f t="shared" si="191"/>
        <v>-0.98465215069306344</v>
      </c>
      <c r="BB280">
        <f t="shared" si="192"/>
        <v>-0.78734864280473615</v>
      </c>
      <c r="BC280">
        <f t="shared" si="193"/>
        <v>-1.2672332723896202</v>
      </c>
      <c r="BD280" t="str">
        <f t="shared" si="194"/>
        <v>C03570</v>
      </c>
    </row>
    <row r="281" spans="1:56" x14ac:dyDescent="0.2">
      <c r="A281" t="s">
        <v>324</v>
      </c>
      <c r="B281">
        <v>3351729</v>
      </c>
      <c r="C281">
        <v>4057501.75</v>
      </c>
      <c r="D281">
        <v>2864146.25</v>
      </c>
      <c r="E281">
        <v>2909246</v>
      </c>
      <c r="F281">
        <v>2030657.625</v>
      </c>
      <c r="G281">
        <v>1764183.5</v>
      </c>
      <c r="H281">
        <v>2465520.25</v>
      </c>
      <c r="I281">
        <v>3045816.75</v>
      </c>
      <c r="J281">
        <v>1209194.625</v>
      </c>
      <c r="K281">
        <v>993181.0625</v>
      </c>
      <c r="L281">
        <v>1140974</v>
      </c>
      <c r="M281">
        <v>1287792.75</v>
      </c>
      <c r="N281">
        <v>1280907.25</v>
      </c>
      <c r="O281">
        <v>822851.6875</v>
      </c>
      <c r="P281">
        <v>868748.5</v>
      </c>
      <c r="Q281">
        <v>749415.5</v>
      </c>
      <c r="R281" s="2" t="s">
        <v>411</v>
      </c>
      <c r="S281" s="4" t="s">
        <v>422</v>
      </c>
      <c r="T281">
        <f t="shared" si="159"/>
        <v>6.5252688970219435</v>
      </c>
      <c r="U281">
        <f t="shared" si="160"/>
        <v>6.6082587158094661</v>
      </c>
      <c r="V281">
        <f t="shared" si="161"/>
        <v>6.4569951902930542</v>
      </c>
      <c r="W281">
        <f t="shared" si="162"/>
        <v>6.4637804458690882</v>
      </c>
      <c r="X281">
        <f t="shared" si="163"/>
        <v>6.3076367062174796</v>
      </c>
      <c r="Y281">
        <f t="shared" si="164"/>
        <v>6.2465437559050327</v>
      </c>
      <c r="Z281">
        <f t="shared" si="165"/>
        <v>6.3919085738625503</v>
      </c>
      <c r="AA281">
        <f t="shared" si="166"/>
        <v>6.4837037706816263</v>
      </c>
      <c r="AB281">
        <f t="shared" si="167"/>
        <v>6.0824962080244465</v>
      </c>
      <c r="AC281">
        <f t="shared" si="168"/>
        <v>5.9970284300426551</v>
      </c>
      <c r="AD281">
        <f t="shared" si="169"/>
        <v>6.0572757480245398</v>
      </c>
      <c r="AE281">
        <f t="shared" si="170"/>
        <v>6.1098459757771826</v>
      </c>
      <c r="AF281">
        <f t="shared" si="171"/>
        <v>6.1075176837872149</v>
      </c>
      <c r="AG281">
        <f t="shared" si="172"/>
        <v>5.9153215641250139</v>
      </c>
      <c r="AH281">
        <f t="shared" si="173"/>
        <v>5.9388940677365474</v>
      </c>
      <c r="AI281">
        <f t="shared" si="174"/>
        <v>5.8747226712702627</v>
      </c>
      <c r="AJ281" t="str">
        <f t="shared" si="175"/>
        <v>C03570</v>
      </c>
      <c r="AL281">
        <f t="shared" si="176"/>
        <v>6.2229499002780058</v>
      </c>
      <c r="AM281">
        <f t="shared" si="177"/>
        <v>0.24191213690026109</v>
      </c>
      <c r="AN281">
        <f t="shared" si="178"/>
        <v>1.2497057841648598</v>
      </c>
      <c r="AO281">
        <f t="shared" si="179"/>
        <v>1.5927634738323231</v>
      </c>
      <c r="AP281">
        <f t="shared" si="180"/>
        <v>0.96748056138888117</v>
      </c>
      <c r="AQ281">
        <f t="shared" si="181"/>
        <v>0.99552899113274085</v>
      </c>
      <c r="AR281">
        <f t="shared" si="182"/>
        <v>0.35007258017149312</v>
      </c>
      <c r="AS281">
        <f t="shared" si="183"/>
        <v>9.7530681715050069E-2</v>
      </c>
      <c r="AT281">
        <f t="shared" si="184"/>
        <v>0.69842991653703246</v>
      </c>
      <c r="AU281">
        <f t="shared" si="185"/>
        <v>1.0778866812752259</v>
      </c>
      <c r="AV281">
        <f t="shared" si="186"/>
        <v>-0.58059795615574061</v>
      </c>
      <c r="AW281">
        <f t="shared" si="187"/>
        <v>-0.93389886563854696</v>
      </c>
      <c r="AX281">
        <f t="shared" si="188"/>
        <v>-0.68485258481170119</v>
      </c>
      <c r="AY281">
        <f t="shared" si="189"/>
        <v>-0.4675413393890826</v>
      </c>
      <c r="AZ281">
        <f t="shared" si="190"/>
        <v>-0.47716587505645836</v>
      </c>
      <c r="BA281">
        <f t="shared" si="191"/>
        <v>-1.2716531716630042</v>
      </c>
      <c r="BB281">
        <f t="shared" si="192"/>
        <v>-1.1742107534628281</v>
      </c>
      <c r="BC281">
        <f t="shared" si="193"/>
        <v>-1.4394781240401966</v>
      </c>
      <c r="BD281" t="str">
        <f t="shared" si="194"/>
        <v>C03570</v>
      </c>
    </row>
    <row r="282" spans="1:56" x14ac:dyDescent="0.2">
      <c r="A282" t="s">
        <v>325</v>
      </c>
      <c r="B282">
        <v>728660.875</v>
      </c>
      <c r="C282">
        <v>644948.25</v>
      </c>
      <c r="D282">
        <v>664325.4375</v>
      </c>
      <c r="E282">
        <v>301252.21879999997</v>
      </c>
      <c r="F282">
        <v>418750.9375</v>
      </c>
      <c r="G282">
        <v>391757.375</v>
      </c>
      <c r="H282">
        <v>407437.96879999997</v>
      </c>
      <c r="I282">
        <v>416510.03120000003</v>
      </c>
      <c r="J282">
        <v>137301.875</v>
      </c>
      <c r="K282">
        <v>118708.27340000001</v>
      </c>
      <c r="L282">
        <v>117343.25780000001</v>
      </c>
      <c r="M282">
        <v>139242.70310000001</v>
      </c>
      <c r="N282">
        <v>230144.4062</v>
      </c>
      <c r="O282">
        <v>212127.26560000001</v>
      </c>
      <c r="P282">
        <v>210294.10939999999</v>
      </c>
      <c r="Q282">
        <v>163639.9375</v>
      </c>
      <c r="R282" s="2" t="s">
        <v>412</v>
      </c>
      <c r="S282" s="4" t="s">
        <v>422</v>
      </c>
      <c r="T282">
        <f t="shared" si="159"/>
        <v>5.8625254509742541</v>
      </c>
      <c r="U282">
        <f t="shared" si="160"/>
        <v>5.8095248686800902</v>
      </c>
      <c r="V282">
        <f t="shared" si="161"/>
        <v>5.8223808822087859</v>
      </c>
      <c r="W282">
        <f t="shared" si="162"/>
        <v>5.4789302542851583</v>
      </c>
      <c r="X282">
        <f t="shared" si="163"/>
        <v>5.6219557923448917</v>
      </c>
      <c r="Y282">
        <f t="shared" si="164"/>
        <v>5.5930171809968003</v>
      </c>
      <c r="Z282">
        <f t="shared" si="165"/>
        <v>5.610061498085777</v>
      </c>
      <c r="AA282">
        <f t="shared" si="166"/>
        <v>5.6196254653882942</v>
      </c>
      <c r="AB282">
        <f t="shared" si="167"/>
        <v>5.137676468020393</v>
      </c>
      <c r="AC282">
        <f t="shared" si="168"/>
        <v>5.0744809882616932</v>
      </c>
      <c r="AD282">
        <f t="shared" si="169"/>
        <v>5.0694581413621842</v>
      </c>
      <c r="AE282">
        <f t="shared" si="170"/>
        <v>5.1437724455948652</v>
      </c>
      <c r="AF282">
        <f t="shared" si="171"/>
        <v>5.3620004235663119</v>
      </c>
      <c r="AG282">
        <f t="shared" si="172"/>
        <v>5.3265964937810004</v>
      </c>
      <c r="AH282">
        <f t="shared" si="173"/>
        <v>5.3228271077271927</v>
      </c>
      <c r="AI282">
        <f t="shared" si="174"/>
        <v>5.2138893049536259</v>
      </c>
      <c r="AJ282" t="str">
        <f t="shared" si="175"/>
        <v>C05402</v>
      </c>
      <c r="AL282">
        <f t="shared" si="176"/>
        <v>5.4417951728894574</v>
      </c>
      <c r="AM282">
        <f t="shared" si="177"/>
        <v>0.27255818178906083</v>
      </c>
      <c r="AN282">
        <f t="shared" si="178"/>
        <v>1.5436347400145551</v>
      </c>
      <c r="AO282">
        <f t="shared" si="179"/>
        <v>1.3491787088425307</v>
      </c>
      <c r="AP282">
        <f t="shared" si="180"/>
        <v>1.3963466692549071</v>
      </c>
      <c r="AQ282">
        <f t="shared" si="181"/>
        <v>0.13624643792363092</v>
      </c>
      <c r="AR282">
        <f t="shared" si="182"/>
        <v>0.66099875730336688</v>
      </c>
      <c r="AS282">
        <f t="shared" si="183"/>
        <v>0.55482468775924421</v>
      </c>
      <c r="AT282">
        <f t="shared" si="184"/>
        <v>0.61735928854465627</v>
      </c>
      <c r="AU282">
        <f t="shared" si="185"/>
        <v>0.65244892423175871</v>
      </c>
      <c r="AV282">
        <f t="shared" si="186"/>
        <v>-1.1157937100726221</v>
      </c>
      <c r="AW282">
        <f t="shared" si="187"/>
        <v>-1.3476542227304598</v>
      </c>
      <c r="AX282">
        <f t="shared" si="188"/>
        <v>-1.3660827537198408</v>
      </c>
      <c r="AY282">
        <f t="shared" si="189"/>
        <v>-1.0934279255107406</v>
      </c>
      <c r="AZ282">
        <f t="shared" si="190"/>
        <v>-0.29276226015075374</v>
      </c>
      <c r="BA282">
        <f t="shared" si="191"/>
        <v>-0.42265720424276931</v>
      </c>
      <c r="BB282">
        <f t="shared" si="192"/>
        <v>-0.43648686082862426</v>
      </c>
      <c r="BC282">
        <f t="shared" si="193"/>
        <v>-0.83617327661883634</v>
      </c>
      <c r="BD282" t="str">
        <f t="shared" si="194"/>
        <v>C05402</v>
      </c>
    </row>
    <row r="283" spans="1:56" x14ac:dyDescent="0.2">
      <c r="A283" t="s">
        <v>211</v>
      </c>
      <c r="B283">
        <v>132240856</v>
      </c>
      <c r="C283">
        <v>137374560</v>
      </c>
      <c r="D283">
        <v>134108464</v>
      </c>
      <c r="E283">
        <v>66874640</v>
      </c>
      <c r="F283">
        <v>83208984</v>
      </c>
      <c r="G283">
        <v>63109412</v>
      </c>
      <c r="H283">
        <v>62600512</v>
      </c>
      <c r="I283">
        <v>64384732</v>
      </c>
      <c r="J283">
        <v>26351422</v>
      </c>
      <c r="K283">
        <v>13711040</v>
      </c>
      <c r="L283">
        <v>16176803</v>
      </c>
      <c r="M283">
        <v>28331416</v>
      </c>
      <c r="N283">
        <v>25971784</v>
      </c>
      <c r="O283">
        <v>36156732</v>
      </c>
      <c r="P283">
        <v>31211838</v>
      </c>
      <c r="Q283">
        <v>26546024</v>
      </c>
      <c r="R283" s="2" t="s">
        <v>212</v>
      </c>
      <c r="S283" s="4" t="s">
        <v>422</v>
      </c>
      <c r="T283">
        <f t="shared" si="159"/>
        <v>8.1213656517768911</v>
      </c>
      <c r="U283">
        <f t="shared" si="160"/>
        <v>8.1379063144224251</v>
      </c>
      <c r="V283">
        <f t="shared" si="161"/>
        <v>8.1274561883847429</v>
      </c>
      <c r="W283">
        <f t="shared" si="162"/>
        <v>7.8252614571386783</v>
      </c>
      <c r="X283">
        <f t="shared" si="163"/>
        <v>7.9201702192112311</v>
      </c>
      <c r="Y283">
        <f t="shared" si="164"/>
        <v>7.8000941338058167</v>
      </c>
      <c r="Z283">
        <f t="shared" si="165"/>
        <v>7.7965778852530079</v>
      </c>
      <c r="AA283">
        <f t="shared" si="166"/>
        <v>7.8087828922931593</v>
      </c>
      <c r="AB283">
        <f t="shared" si="167"/>
        <v>7.4208040559846227</v>
      </c>
      <c r="AC283">
        <f t="shared" si="168"/>
        <v>7.1370703978333498</v>
      </c>
      <c r="AD283">
        <f t="shared" si="169"/>
        <v>7.2088926967170863</v>
      </c>
      <c r="AE283">
        <f t="shared" si="170"/>
        <v>7.4522682810371439</v>
      </c>
      <c r="AF283">
        <f t="shared" si="171"/>
        <v>7.4145017823110608</v>
      </c>
      <c r="AG283">
        <f t="shared" si="172"/>
        <v>7.5581891701853783</v>
      </c>
      <c r="AH283">
        <f t="shared" si="173"/>
        <v>7.4943193441140394</v>
      </c>
      <c r="AI283">
        <f t="shared" si="174"/>
        <v>7.4239994826992879</v>
      </c>
      <c r="AJ283" t="str">
        <f t="shared" si="175"/>
        <v>C00135</v>
      </c>
      <c r="AL283">
        <f t="shared" si="176"/>
        <v>7.6654787470729957</v>
      </c>
      <c r="AM283">
        <f t="shared" si="177"/>
        <v>0.32101976430212065</v>
      </c>
      <c r="AN283">
        <f t="shared" si="178"/>
        <v>1.42012098755031</v>
      </c>
      <c r="AO283">
        <f t="shared" si="179"/>
        <v>1.4716463591469546</v>
      </c>
      <c r="AP283">
        <f t="shared" si="180"/>
        <v>1.4390934536883138</v>
      </c>
      <c r="AQ283">
        <f t="shared" si="181"/>
        <v>0.49773480587103852</v>
      </c>
      <c r="AR283">
        <f t="shared" si="182"/>
        <v>0.79338252799456344</v>
      </c>
      <c r="AS283">
        <f t="shared" si="183"/>
        <v>0.41933675649369284</v>
      </c>
      <c r="AT283">
        <f t="shared" si="184"/>
        <v>0.4083833855682204</v>
      </c>
      <c r="AU283">
        <f t="shared" si="185"/>
        <v>0.44640287345453294</v>
      </c>
      <c r="AV283">
        <f t="shared" si="186"/>
        <v>-0.76217952380683596</v>
      </c>
      <c r="AW283">
        <f t="shared" si="187"/>
        <v>-1.6460305812895246</v>
      </c>
      <c r="AX283">
        <f t="shared" si="188"/>
        <v>-1.4222988772934353</v>
      </c>
      <c r="AY283">
        <f t="shared" si="189"/>
        <v>-0.66416616590370892</v>
      </c>
      <c r="AZ283">
        <f t="shared" si="190"/>
        <v>-0.781811566361171</v>
      </c>
      <c r="BA283">
        <f t="shared" si="191"/>
        <v>-0.3342148640625261</v>
      </c>
      <c r="BB283">
        <f t="shared" si="192"/>
        <v>-0.53317403472352365</v>
      </c>
      <c r="BC283">
        <f t="shared" si="193"/>
        <v>-0.75222553632693145</v>
      </c>
      <c r="BD283" t="str">
        <f t="shared" si="194"/>
        <v>C00135</v>
      </c>
    </row>
    <row r="284" spans="1:56" x14ac:dyDescent="0.2">
      <c r="A284" t="s">
        <v>326</v>
      </c>
      <c r="R284" s="2" t="s">
        <v>327</v>
      </c>
      <c r="S284" s="4" t="s">
        <v>422</v>
      </c>
      <c r="T284" t="e">
        <f t="shared" si="159"/>
        <v>#NUM!</v>
      </c>
      <c r="U284" t="e">
        <f t="shared" si="160"/>
        <v>#NUM!</v>
      </c>
      <c r="V284" t="e">
        <f t="shared" si="161"/>
        <v>#NUM!</v>
      </c>
      <c r="W284" t="e">
        <f t="shared" si="162"/>
        <v>#NUM!</v>
      </c>
      <c r="X284" t="e">
        <f t="shared" si="163"/>
        <v>#NUM!</v>
      </c>
      <c r="Y284" t="e">
        <f t="shared" si="164"/>
        <v>#NUM!</v>
      </c>
      <c r="Z284" t="e">
        <f t="shared" si="165"/>
        <v>#NUM!</v>
      </c>
      <c r="AA284" t="e">
        <f t="shared" si="166"/>
        <v>#NUM!</v>
      </c>
      <c r="AB284" t="e">
        <f t="shared" si="167"/>
        <v>#NUM!</v>
      </c>
      <c r="AC284" t="e">
        <f t="shared" si="168"/>
        <v>#NUM!</v>
      </c>
      <c r="AD284" t="e">
        <f t="shared" si="169"/>
        <v>#NUM!</v>
      </c>
      <c r="AE284" t="e">
        <f t="shared" si="170"/>
        <v>#NUM!</v>
      </c>
      <c r="AF284" t="e">
        <f t="shared" si="171"/>
        <v>#NUM!</v>
      </c>
      <c r="AG284" t="e">
        <f t="shared" si="172"/>
        <v>#NUM!</v>
      </c>
      <c r="AH284" t="e">
        <f t="shared" si="173"/>
        <v>#NUM!</v>
      </c>
      <c r="AI284" t="e">
        <f t="shared" si="174"/>
        <v>#NUM!</v>
      </c>
      <c r="AJ284" t="str">
        <f t="shared" si="175"/>
        <v>C00270</v>
      </c>
      <c r="AL284" t="e">
        <f t="shared" si="176"/>
        <v>#NUM!</v>
      </c>
      <c r="AM284" t="e">
        <f t="shared" si="177"/>
        <v>#NUM!</v>
      </c>
      <c r="AN284" t="e">
        <f t="shared" si="178"/>
        <v>#NUM!</v>
      </c>
      <c r="AO284" t="e">
        <f t="shared" si="179"/>
        <v>#NUM!</v>
      </c>
      <c r="AP284" t="e">
        <f t="shared" si="180"/>
        <v>#NUM!</v>
      </c>
      <c r="AQ284" t="e">
        <f t="shared" si="181"/>
        <v>#NUM!</v>
      </c>
      <c r="AR284" t="e">
        <f t="shared" si="182"/>
        <v>#NUM!</v>
      </c>
      <c r="AS284" t="e">
        <f t="shared" si="183"/>
        <v>#NUM!</v>
      </c>
      <c r="AT284" t="e">
        <f t="shared" si="184"/>
        <v>#NUM!</v>
      </c>
      <c r="AU284" t="e">
        <f t="shared" si="185"/>
        <v>#NUM!</v>
      </c>
      <c r="AV284" t="e">
        <f t="shared" si="186"/>
        <v>#NUM!</v>
      </c>
      <c r="AW284" t="e">
        <f t="shared" si="187"/>
        <v>#NUM!</v>
      </c>
      <c r="AX284" t="e">
        <f t="shared" si="188"/>
        <v>#NUM!</v>
      </c>
      <c r="AY284" t="e">
        <f t="shared" si="189"/>
        <v>#NUM!</v>
      </c>
      <c r="AZ284" t="e">
        <f t="shared" si="190"/>
        <v>#NUM!</v>
      </c>
      <c r="BA284" t="e">
        <f t="shared" si="191"/>
        <v>#NUM!</v>
      </c>
      <c r="BB284" t="e">
        <f t="shared" si="192"/>
        <v>#NUM!</v>
      </c>
      <c r="BC284" t="e">
        <f t="shared" si="193"/>
        <v>#NUM!</v>
      </c>
      <c r="BD284" t="str">
        <f t="shared" si="194"/>
        <v>C00270</v>
      </c>
    </row>
    <row r="285" spans="1:56" x14ac:dyDescent="0.2">
      <c r="A285" t="s">
        <v>328</v>
      </c>
      <c r="B285">
        <v>974178112</v>
      </c>
      <c r="C285">
        <v>1040697152</v>
      </c>
      <c r="D285">
        <v>931591936</v>
      </c>
      <c r="E285">
        <v>649291520</v>
      </c>
      <c r="F285">
        <v>836248704</v>
      </c>
      <c r="G285">
        <v>684529472</v>
      </c>
      <c r="H285">
        <v>731960832</v>
      </c>
      <c r="I285">
        <v>724304128</v>
      </c>
      <c r="J285">
        <v>520968928</v>
      </c>
      <c r="K285">
        <v>344227136</v>
      </c>
      <c r="L285">
        <v>465383488</v>
      </c>
      <c r="M285">
        <v>552757184</v>
      </c>
      <c r="N285">
        <v>531725280</v>
      </c>
      <c r="O285">
        <v>492414464</v>
      </c>
      <c r="P285">
        <v>590562432</v>
      </c>
      <c r="Q285">
        <v>564622208</v>
      </c>
      <c r="R285" s="2" t="s">
        <v>413</v>
      </c>
      <c r="S285" s="4" t="s">
        <v>422</v>
      </c>
      <c r="T285">
        <f t="shared" si="159"/>
        <v>8.9886383675428654</v>
      </c>
      <c r="U285">
        <f t="shared" si="160"/>
        <v>9.0173243660613114</v>
      </c>
      <c r="V285">
        <f t="shared" si="161"/>
        <v>8.9692257205605177</v>
      </c>
      <c r="W285">
        <f t="shared" si="162"/>
        <v>8.8124397308548037</v>
      </c>
      <c r="X285">
        <f t="shared" si="163"/>
        <v>8.9223354577162866</v>
      </c>
      <c r="Y285">
        <f t="shared" si="164"/>
        <v>8.8353921511572686</v>
      </c>
      <c r="Z285">
        <f t="shared" si="165"/>
        <v>8.8644878421220774</v>
      </c>
      <c r="AA285">
        <f t="shared" si="166"/>
        <v>8.8599209603664111</v>
      </c>
      <c r="AB285">
        <f t="shared" si="167"/>
        <v>8.716811821571012</v>
      </c>
      <c r="AC285">
        <f t="shared" si="168"/>
        <v>8.536845103500351</v>
      </c>
      <c r="AD285">
        <f t="shared" si="169"/>
        <v>8.6678109702749477</v>
      </c>
      <c r="AE285">
        <f t="shared" si="170"/>
        <v>8.7425343956673647</v>
      </c>
      <c r="AF285">
        <f t="shared" si="171"/>
        <v>8.7256873086186921</v>
      </c>
      <c r="AG285">
        <f t="shared" si="172"/>
        <v>8.6923308012518223</v>
      </c>
      <c r="AH285">
        <f t="shared" si="173"/>
        <v>8.7712658163269364</v>
      </c>
      <c r="AI285">
        <f t="shared" si="174"/>
        <v>8.7517579560322503</v>
      </c>
      <c r="AJ285" t="str">
        <f t="shared" si="175"/>
        <v>D07349</v>
      </c>
      <c r="AL285">
        <f t="shared" si="176"/>
        <v>8.8046755481015566</v>
      </c>
      <c r="AM285">
        <f t="shared" si="177"/>
        <v>0.12972776456008012</v>
      </c>
      <c r="AN285">
        <f t="shared" si="178"/>
        <v>1.4180682143498362</v>
      </c>
      <c r="AO285">
        <f t="shared" si="179"/>
        <v>1.6391928025651892</v>
      </c>
      <c r="AP285">
        <f t="shared" si="180"/>
        <v>1.2684267937319913</v>
      </c>
      <c r="AQ285">
        <f t="shared" si="181"/>
        <v>5.9849815338884532E-2</v>
      </c>
      <c r="AR285">
        <f t="shared" si="182"/>
        <v>0.90697554231144362</v>
      </c>
      <c r="AS285">
        <f t="shared" si="183"/>
        <v>0.23677740196846131</v>
      </c>
      <c r="AT285">
        <f t="shared" si="184"/>
        <v>0.4610600839639093</v>
      </c>
      <c r="AU285">
        <f t="shared" si="185"/>
        <v>0.42585650382705048</v>
      </c>
      <c r="AV285">
        <f t="shared" si="186"/>
        <v>-0.67729315176669669</v>
      </c>
      <c r="AW285">
        <f t="shared" si="187"/>
        <v>-2.0645576180969862</v>
      </c>
      <c r="AX285">
        <f t="shared" si="188"/>
        <v>-1.0550137689547832</v>
      </c>
      <c r="AY285">
        <f t="shared" si="189"/>
        <v>-0.47901197284111713</v>
      </c>
      <c r="AZ285">
        <f t="shared" si="190"/>
        <v>-0.60887690272565431</v>
      </c>
      <c r="BA285">
        <f t="shared" si="191"/>
        <v>-0.86600387535163814</v>
      </c>
      <c r="BB285">
        <f t="shared" si="192"/>
        <v>-0.25753725031735508</v>
      </c>
      <c r="BC285">
        <f t="shared" si="193"/>
        <v>-0.40791261800243939</v>
      </c>
      <c r="BD285" t="str">
        <f t="shared" si="194"/>
        <v>D07349</v>
      </c>
    </row>
    <row r="286" spans="1:56" x14ac:dyDescent="0.2">
      <c r="A286" t="s">
        <v>213</v>
      </c>
      <c r="B286">
        <v>112119.5</v>
      </c>
      <c r="C286">
        <v>109234.7812</v>
      </c>
      <c r="D286">
        <v>134498.7188</v>
      </c>
      <c r="E286">
        <v>93862.960940000004</v>
      </c>
      <c r="F286">
        <v>143269.98439999999</v>
      </c>
      <c r="G286">
        <v>116825.22659999999</v>
      </c>
      <c r="H286">
        <v>124771.2656</v>
      </c>
      <c r="I286">
        <v>99525.007809999996</v>
      </c>
      <c r="J286">
        <v>108357.27340000001</v>
      </c>
      <c r="K286">
        <v>234889.75</v>
      </c>
      <c r="L286">
        <v>210786.26560000001</v>
      </c>
      <c r="M286">
        <v>270923</v>
      </c>
      <c r="N286">
        <v>151942.0312</v>
      </c>
      <c r="O286">
        <v>280410.4375</v>
      </c>
      <c r="P286">
        <v>195848.8125</v>
      </c>
      <c r="Q286">
        <v>204697.17189999999</v>
      </c>
      <c r="R286" s="2"/>
      <c r="S286" s="4" t="s">
        <v>422</v>
      </c>
      <c r="T286">
        <f t="shared" si="159"/>
        <v>5.0496811523443572</v>
      </c>
      <c r="U286">
        <f t="shared" si="160"/>
        <v>5.0383609431137657</v>
      </c>
      <c r="V286">
        <f t="shared" si="161"/>
        <v>5.1287181473812495</v>
      </c>
      <c r="W286">
        <f t="shared" si="162"/>
        <v>4.9724942500642095</v>
      </c>
      <c r="X286">
        <f t="shared" si="163"/>
        <v>5.15615521360139</v>
      </c>
      <c r="Y286">
        <f t="shared" si="164"/>
        <v>5.0675366320762709</v>
      </c>
      <c r="Z286">
        <f t="shared" si="165"/>
        <v>5.096114580312685</v>
      </c>
      <c r="AA286">
        <f t="shared" si="166"/>
        <v>4.9979322203364145</v>
      </c>
      <c r="AB286">
        <f t="shared" si="167"/>
        <v>5.0348580683228086</v>
      </c>
      <c r="AC286">
        <f t="shared" si="168"/>
        <v>5.3708640656683482</v>
      </c>
      <c r="AD286">
        <f t="shared" si="169"/>
        <v>5.32384230972621</v>
      </c>
      <c r="AE286">
        <f t="shared" si="170"/>
        <v>5.4328458760153513</v>
      </c>
      <c r="AF286">
        <f t="shared" si="171"/>
        <v>5.1816779278669713</v>
      </c>
      <c r="AG286">
        <f t="shared" si="172"/>
        <v>5.4477941750017917</v>
      </c>
      <c r="AH286">
        <f t="shared" si="173"/>
        <v>5.2919209426121929</v>
      </c>
      <c r="AI286">
        <f t="shared" si="174"/>
        <v>5.311111842483176</v>
      </c>
      <c r="AJ286">
        <f t="shared" si="175"/>
        <v>0</v>
      </c>
      <c r="AL286">
        <f t="shared" si="176"/>
        <v>5.1813692716829491</v>
      </c>
      <c r="AM286">
        <f t="shared" si="177"/>
        <v>0.15909225434472385</v>
      </c>
      <c r="AN286">
        <f t="shared" si="178"/>
        <v>-0.82774689365610365</v>
      </c>
      <c r="AO286">
        <f t="shared" si="179"/>
        <v>-0.89890189285589306</v>
      </c>
      <c r="AP286">
        <f t="shared" si="180"/>
        <v>-0.33094712573255913</v>
      </c>
      <c r="AQ286">
        <f t="shared" si="181"/>
        <v>-1.3129176054425982</v>
      </c>
      <c r="AR286">
        <f t="shared" si="182"/>
        <v>-0.15848702493664418</v>
      </c>
      <c r="AS286">
        <f t="shared" si="183"/>
        <v>-0.71551339866002328</v>
      </c>
      <c r="AT286">
        <f t="shared" si="184"/>
        <v>-0.53588210011489779</v>
      </c>
      <c r="AU286">
        <f t="shared" si="185"/>
        <v>-1.153023144351579</v>
      </c>
      <c r="AV286">
        <f t="shared" si="186"/>
        <v>-0.92091977678987158</v>
      </c>
      <c r="AW286">
        <f t="shared" si="187"/>
        <v>1.1911000618219818</v>
      </c>
      <c r="AX286">
        <f t="shared" si="188"/>
        <v>0.89553723800121532</v>
      </c>
      <c r="AY286">
        <f t="shared" si="189"/>
        <v>1.5806967181915614</v>
      </c>
      <c r="AZ286">
        <f t="shared" si="190"/>
        <v>1.9401081799582968E-3</v>
      </c>
      <c r="BA286">
        <f t="shared" si="191"/>
        <v>1.674656660163659</v>
      </c>
      <c r="BB286">
        <f t="shared" si="192"/>
        <v>0.69489034135941341</v>
      </c>
      <c r="BC286">
        <f t="shared" si="193"/>
        <v>0.81551783482241968</v>
      </c>
      <c r="BD286">
        <f t="shared" si="194"/>
        <v>0</v>
      </c>
    </row>
    <row r="287" spans="1:56" x14ac:dyDescent="0.2">
      <c r="A287" t="s">
        <v>329</v>
      </c>
      <c r="B287">
        <v>598896.875</v>
      </c>
      <c r="C287">
        <v>717461.0625</v>
      </c>
      <c r="D287">
        <v>739911.625</v>
      </c>
      <c r="E287">
        <v>623436.8125</v>
      </c>
      <c r="F287">
        <v>509949.375</v>
      </c>
      <c r="G287">
        <v>439108.5625</v>
      </c>
      <c r="H287">
        <v>627633.125</v>
      </c>
      <c r="I287">
        <v>884286.5625</v>
      </c>
      <c r="J287">
        <v>251095.20310000001</v>
      </c>
      <c r="K287">
        <v>174066.98439999999</v>
      </c>
      <c r="L287">
        <v>153814.4688</v>
      </c>
      <c r="M287">
        <v>208058.6562</v>
      </c>
      <c r="N287">
        <v>287502.375</v>
      </c>
      <c r="O287">
        <v>192580.4375</v>
      </c>
      <c r="P287">
        <v>217832.92189999999</v>
      </c>
      <c r="Q287">
        <v>161425.5938</v>
      </c>
      <c r="R287" s="2" t="s">
        <v>414</v>
      </c>
      <c r="S287" s="4" t="s">
        <v>422</v>
      </c>
      <c r="T287">
        <f t="shared" si="159"/>
        <v>5.7773520469733439</v>
      </c>
      <c r="U287">
        <f t="shared" si="160"/>
        <v>5.8557983363464432</v>
      </c>
      <c r="V287">
        <f t="shared" si="161"/>
        <v>5.869179850721725</v>
      </c>
      <c r="W287">
        <f t="shared" si="162"/>
        <v>5.7947924427813637</v>
      </c>
      <c r="X287">
        <f t="shared" si="163"/>
        <v>5.7075270638441262</v>
      </c>
      <c r="Y287">
        <f t="shared" si="164"/>
        <v>5.6425719058136679</v>
      </c>
      <c r="Z287">
        <f t="shared" si="165"/>
        <v>5.7977058565609738</v>
      </c>
      <c r="AA287">
        <f t="shared" si="166"/>
        <v>5.9465930255845771</v>
      </c>
      <c r="AB287">
        <f t="shared" si="167"/>
        <v>5.3998384160697546</v>
      </c>
      <c r="AC287">
        <f t="shared" si="168"/>
        <v>5.2407164055078264</v>
      </c>
      <c r="AD287">
        <f t="shared" si="169"/>
        <v>5.1869971899806693</v>
      </c>
      <c r="AE287">
        <f t="shared" si="170"/>
        <v>5.3181857891589601</v>
      </c>
      <c r="AF287">
        <f t="shared" si="171"/>
        <v>5.4586414366608986</v>
      </c>
      <c r="AG287">
        <f t="shared" si="172"/>
        <v>5.28461216899154</v>
      </c>
      <c r="AH287">
        <f t="shared" si="173"/>
        <v>5.3381235169211774</v>
      </c>
      <c r="AI287">
        <f t="shared" si="174"/>
        <v>5.2079723926221799</v>
      </c>
      <c r="AJ287" t="str">
        <f t="shared" si="175"/>
        <v>C00329</v>
      </c>
      <c r="AL287">
        <f t="shared" si="176"/>
        <v>5.5516629902837016</v>
      </c>
      <c r="AM287">
        <f t="shared" si="177"/>
        <v>0.2712133631193448</v>
      </c>
      <c r="AN287">
        <f t="shared" si="178"/>
        <v>0.83214578401997863</v>
      </c>
      <c r="AO287">
        <f t="shared" si="179"/>
        <v>1.1213877611513923</v>
      </c>
      <c r="AP287">
        <f t="shared" si="180"/>
        <v>1.1707271971635971</v>
      </c>
      <c r="AQ287">
        <f t="shared" si="181"/>
        <v>0.8964508595790518</v>
      </c>
      <c r="AR287">
        <f t="shared" si="182"/>
        <v>0.57469171787025175</v>
      </c>
      <c r="AS287">
        <f t="shared" si="183"/>
        <v>0.33519334919335331</v>
      </c>
      <c r="AT287">
        <f t="shared" si="184"/>
        <v>0.90719300644859258</v>
      </c>
      <c r="AU287">
        <f t="shared" si="185"/>
        <v>1.456159942705664</v>
      </c>
      <c r="AV287">
        <f t="shared" si="186"/>
        <v>-0.55979754267173809</v>
      </c>
      <c r="AW287">
        <f t="shared" si="187"/>
        <v>-1.1465017106809969</v>
      </c>
      <c r="AX287">
        <f t="shared" si="188"/>
        <v>-1.3445716542461246</v>
      </c>
      <c r="AY287">
        <f t="shared" si="189"/>
        <v>-0.86086171580713045</v>
      </c>
      <c r="AZ287">
        <f t="shared" si="190"/>
        <v>-0.34298292883846482</v>
      </c>
      <c r="BA287">
        <f t="shared" si="191"/>
        <v>-0.98465215069306344</v>
      </c>
      <c r="BB287">
        <f t="shared" si="192"/>
        <v>-0.78734864280473615</v>
      </c>
      <c r="BC287">
        <f t="shared" si="193"/>
        <v>-1.2672332723896202</v>
      </c>
      <c r="BD287" t="str">
        <f t="shared" si="194"/>
        <v>C00329</v>
      </c>
    </row>
    <row r="288" spans="1:56" x14ac:dyDescent="0.2">
      <c r="A288" t="s">
        <v>329</v>
      </c>
      <c r="B288">
        <v>3351729</v>
      </c>
      <c r="C288">
        <v>4057501.75</v>
      </c>
      <c r="D288">
        <v>2864146.25</v>
      </c>
      <c r="E288">
        <v>2909246</v>
      </c>
      <c r="F288">
        <v>2030657.625</v>
      </c>
      <c r="G288">
        <v>1764183.5</v>
      </c>
      <c r="H288">
        <v>2465520.25</v>
      </c>
      <c r="I288">
        <v>3045816.75</v>
      </c>
      <c r="J288">
        <v>1209194.625</v>
      </c>
      <c r="K288">
        <v>993181.0625</v>
      </c>
      <c r="L288">
        <v>1140974</v>
      </c>
      <c r="M288">
        <v>1287792.75</v>
      </c>
      <c r="N288">
        <v>1280907.25</v>
      </c>
      <c r="O288">
        <v>822851.6875</v>
      </c>
      <c r="P288">
        <v>868748.5</v>
      </c>
      <c r="Q288">
        <v>749415.5</v>
      </c>
      <c r="R288" s="2" t="s">
        <v>414</v>
      </c>
      <c r="S288" s="4" t="s">
        <v>422</v>
      </c>
      <c r="T288">
        <f t="shared" si="159"/>
        <v>6.5252688970219435</v>
      </c>
      <c r="U288">
        <f t="shared" si="160"/>
        <v>6.6082587158094661</v>
      </c>
      <c r="V288">
        <f t="shared" si="161"/>
        <v>6.4569951902930542</v>
      </c>
      <c r="W288">
        <f t="shared" si="162"/>
        <v>6.4637804458690882</v>
      </c>
      <c r="X288">
        <f t="shared" si="163"/>
        <v>6.3076367062174796</v>
      </c>
      <c r="Y288">
        <f t="shared" si="164"/>
        <v>6.2465437559050327</v>
      </c>
      <c r="Z288">
        <f t="shared" si="165"/>
        <v>6.3919085738625503</v>
      </c>
      <c r="AA288">
        <f t="shared" si="166"/>
        <v>6.4837037706816263</v>
      </c>
      <c r="AB288">
        <f t="shared" si="167"/>
        <v>6.0824962080244465</v>
      </c>
      <c r="AC288">
        <f t="shared" si="168"/>
        <v>5.9970284300426551</v>
      </c>
      <c r="AD288">
        <f t="shared" si="169"/>
        <v>6.0572757480245398</v>
      </c>
      <c r="AE288">
        <f t="shared" si="170"/>
        <v>6.1098459757771826</v>
      </c>
      <c r="AF288">
        <f t="shared" si="171"/>
        <v>6.1075176837872149</v>
      </c>
      <c r="AG288">
        <f t="shared" si="172"/>
        <v>5.9153215641250139</v>
      </c>
      <c r="AH288">
        <f t="shared" si="173"/>
        <v>5.9388940677365474</v>
      </c>
      <c r="AI288">
        <f t="shared" si="174"/>
        <v>5.8747226712702627</v>
      </c>
      <c r="AJ288" t="str">
        <f t="shared" si="175"/>
        <v>C00329</v>
      </c>
      <c r="AL288">
        <f t="shared" si="176"/>
        <v>6.2229499002780058</v>
      </c>
      <c r="AM288">
        <f t="shared" si="177"/>
        <v>0.24191213690026109</v>
      </c>
      <c r="AN288">
        <f t="shared" si="178"/>
        <v>1.2497057841648598</v>
      </c>
      <c r="AO288">
        <f t="shared" si="179"/>
        <v>1.5927634738323231</v>
      </c>
      <c r="AP288">
        <f t="shared" si="180"/>
        <v>0.96748056138888117</v>
      </c>
      <c r="AQ288">
        <f t="shared" si="181"/>
        <v>0.99552899113274085</v>
      </c>
      <c r="AR288">
        <f t="shared" si="182"/>
        <v>0.35007258017149312</v>
      </c>
      <c r="AS288">
        <f t="shared" si="183"/>
        <v>9.7530681715050069E-2</v>
      </c>
      <c r="AT288">
        <f t="shared" si="184"/>
        <v>0.69842991653703246</v>
      </c>
      <c r="AU288">
        <f t="shared" si="185"/>
        <v>1.0778866812752259</v>
      </c>
      <c r="AV288">
        <f t="shared" si="186"/>
        <v>-0.58059795615574061</v>
      </c>
      <c r="AW288">
        <f t="shared" si="187"/>
        <v>-0.93389886563854696</v>
      </c>
      <c r="AX288">
        <f t="shared" si="188"/>
        <v>-0.68485258481170119</v>
      </c>
      <c r="AY288">
        <f t="shared" si="189"/>
        <v>-0.4675413393890826</v>
      </c>
      <c r="AZ288">
        <f t="shared" si="190"/>
        <v>-0.47716587505645836</v>
      </c>
      <c r="BA288">
        <f t="shared" si="191"/>
        <v>-1.2716531716630042</v>
      </c>
      <c r="BB288">
        <f t="shared" si="192"/>
        <v>-1.1742107534628281</v>
      </c>
      <c r="BC288">
        <f t="shared" si="193"/>
        <v>-1.4394781240401966</v>
      </c>
      <c r="BD288" t="str">
        <f t="shared" si="194"/>
        <v>C00329</v>
      </c>
    </row>
    <row r="289" spans="1:56" x14ac:dyDescent="0.2">
      <c r="A289" t="s">
        <v>214</v>
      </c>
      <c r="B289">
        <v>182516.64060000001</v>
      </c>
      <c r="C289">
        <v>146122.04689999999</v>
      </c>
      <c r="D289">
        <v>387521.21879999997</v>
      </c>
      <c r="E289">
        <v>188853.67189999999</v>
      </c>
      <c r="F289">
        <v>444021.53120000003</v>
      </c>
      <c r="G289">
        <v>166078.45310000001</v>
      </c>
      <c r="H289">
        <v>400723.625</v>
      </c>
      <c r="I289">
        <v>451434.34379999997</v>
      </c>
      <c r="J289">
        <v>739735.0625</v>
      </c>
      <c r="K289">
        <v>501033.71879999997</v>
      </c>
      <c r="L289">
        <v>520973.1875</v>
      </c>
      <c r="M289">
        <v>728380.0625</v>
      </c>
      <c r="N289">
        <v>1390296.625</v>
      </c>
      <c r="O289">
        <v>1222250.875</v>
      </c>
      <c r="P289">
        <v>1796708.125</v>
      </c>
      <c r="Q289">
        <v>1352559.625</v>
      </c>
      <c r="R289" s="2" t="s">
        <v>215</v>
      </c>
      <c r="S289" s="4" t="s">
        <v>422</v>
      </c>
      <c r="T289">
        <f t="shared" si="159"/>
        <v>5.2613024665530155</v>
      </c>
      <c r="U289">
        <f t="shared" si="160"/>
        <v>5.1647157472460705</v>
      </c>
      <c r="V289">
        <f t="shared" si="161"/>
        <v>5.5882954873725428</v>
      </c>
      <c r="W289">
        <f t="shared" si="162"/>
        <v>5.2761254332747702</v>
      </c>
      <c r="X289">
        <f t="shared" si="163"/>
        <v>5.6474040301475625</v>
      </c>
      <c r="Y289">
        <f t="shared" si="164"/>
        <v>5.2203132910499708</v>
      </c>
      <c r="Z289">
        <f t="shared" si="165"/>
        <v>5.6028449473857309</v>
      </c>
      <c r="AA289">
        <f t="shared" si="166"/>
        <v>5.6545945958482031</v>
      </c>
      <c r="AB289">
        <f t="shared" si="167"/>
        <v>5.8690762041951956</v>
      </c>
      <c r="AC289">
        <f t="shared" si="168"/>
        <v>5.6998669542025944</v>
      </c>
      <c r="AD289">
        <f t="shared" si="169"/>
        <v>5.7168153723965682</v>
      </c>
      <c r="AE289">
        <f t="shared" si="170"/>
        <v>5.8623580496095142</v>
      </c>
      <c r="AF289">
        <f t="shared" si="171"/>
        <v>6.1431074684967744</v>
      </c>
      <c r="AG289">
        <f t="shared" si="172"/>
        <v>6.0871603568440635</v>
      </c>
      <c r="AH289">
        <f t="shared" si="173"/>
        <v>6.2544775317570558</v>
      </c>
      <c r="AI289">
        <f t="shared" si="174"/>
        <v>6.1311564192408721</v>
      </c>
      <c r="AJ289" t="str">
        <f t="shared" si="175"/>
        <v>C00327</v>
      </c>
      <c r="AL289">
        <f t="shared" si="176"/>
        <v>5.6987258972262822</v>
      </c>
      <c r="AM289">
        <f t="shared" si="177"/>
        <v>0.34739804212522751</v>
      </c>
      <c r="AN289">
        <f t="shared" si="178"/>
        <v>-1.2591418995838426</v>
      </c>
      <c r="AO289">
        <f t="shared" si="179"/>
        <v>-1.5371708680721798</v>
      </c>
      <c r="AP289">
        <f t="shared" si="180"/>
        <v>-0.31787861894147423</v>
      </c>
      <c r="AQ289">
        <f t="shared" si="181"/>
        <v>-1.2164733611226746</v>
      </c>
      <c r="AR289">
        <f t="shared" si="182"/>
        <v>-0.14773217132933505</v>
      </c>
      <c r="AS289">
        <f t="shared" si="183"/>
        <v>-1.3771309799260663</v>
      </c>
      <c r="AT289">
        <f t="shared" si="184"/>
        <v>-0.2759973811423751</v>
      </c>
      <c r="AU289">
        <f t="shared" si="185"/>
        <v>-0.12703382295450863</v>
      </c>
      <c r="AV289">
        <f t="shared" si="186"/>
        <v>0.49036058443733765</v>
      </c>
      <c r="AW289">
        <f t="shared" si="187"/>
        <v>3.2845809070531592E-3</v>
      </c>
      <c r="AX289">
        <f t="shared" si="188"/>
        <v>5.2071321587256574E-2</v>
      </c>
      <c r="AY289">
        <f t="shared" si="189"/>
        <v>0.47102209149540086</v>
      </c>
      <c r="AZ289">
        <f t="shared" si="190"/>
        <v>1.279171202439606</v>
      </c>
      <c r="BA289">
        <f t="shared" si="191"/>
        <v>1.1181250684129109</v>
      </c>
      <c r="BB289">
        <f t="shared" si="192"/>
        <v>1.5997546535695222</v>
      </c>
      <c r="BC289">
        <f t="shared" si="193"/>
        <v>1.2447696002233382</v>
      </c>
      <c r="BD289" t="str">
        <f t="shared" si="194"/>
        <v>C00327</v>
      </c>
    </row>
    <row r="290" spans="1:56" x14ac:dyDescent="0.2">
      <c r="A290" t="s">
        <v>216</v>
      </c>
      <c r="B290">
        <v>299671.75</v>
      </c>
      <c r="C290">
        <v>482118.25</v>
      </c>
      <c r="D290">
        <v>242344.64060000001</v>
      </c>
      <c r="E290">
        <v>158302.2188</v>
      </c>
      <c r="F290">
        <v>1213730.375</v>
      </c>
      <c r="G290">
        <v>677114.75</v>
      </c>
      <c r="H290">
        <v>668425.9375</v>
      </c>
      <c r="I290">
        <v>512681.71879999997</v>
      </c>
      <c r="J290">
        <v>48955.570310000003</v>
      </c>
      <c r="K290">
        <v>44901.28125</v>
      </c>
      <c r="L290">
        <v>58581.1875</v>
      </c>
      <c r="M290">
        <v>54703.609380000002</v>
      </c>
      <c r="N290">
        <v>617897.8125</v>
      </c>
      <c r="O290">
        <v>969421.9375</v>
      </c>
      <c r="P290">
        <v>789283.125</v>
      </c>
      <c r="Q290">
        <v>516707.25</v>
      </c>
      <c r="R290" s="2"/>
      <c r="S290" s="4" t="s">
        <v>422</v>
      </c>
      <c r="T290">
        <f t="shared" si="159"/>
        <v>5.4766458040154307</v>
      </c>
      <c r="U290">
        <f t="shared" si="160"/>
        <v>5.6831535714835892</v>
      </c>
      <c r="V290">
        <f t="shared" si="161"/>
        <v>5.3844334198352053</v>
      </c>
      <c r="W290">
        <f t="shared" si="162"/>
        <v>5.1994870020755162</v>
      </c>
      <c r="X290">
        <f t="shared" si="163"/>
        <v>6.0841222207960923</v>
      </c>
      <c r="Y290">
        <f t="shared" si="164"/>
        <v>5.8306622743997529</v>
      </c>
      <c r="Z290">
        <f t="shared" si="165"/>
        <v>5.8250532938463815</v>
      </c>
      <c r="AA290">
        <f t="shared" si="166"/>
        <v>5.7098478316478642</v>
      </c>
      <c r="AB290">
        <f t="shared" si="167"/>
        <v>4.689802114265019</v>
      </c>
      <c r="AC290">
        <f t="shared" si="168"/>
        <v>4.6522587336952146</v>
      </c>
      <c r="AD290">
        <f t="shared" si="169"/>
        <v>4.7677581710237993</v>
      </c>
      <c r="AE290">
        <f t="shared" si="170"/>
        <v>4.7380159823133665</v>
      </c>
      <c r="AF290">
        <f t="shared" si="171"/>
        <v>5.7909166577152078</v>
      </c>
      <c r="AG290">
        <f t="shared" si="172"/>
        <v>5.9865128433498072</v>
      </c>
      <c r="AH290">
        <f t="shared" si="173"/>
        <v>5.8972328176188382</v>
      </c>
      <c r="AI290">
        <f t="shared" si="174"/>
        <v>5.7132445552420119</v>
      </c>
      <c r="AJ290">
        <f t="shared" si="175"/>
        <v>0</v>
      </c>
      <c r="AL290">
        <f t="shared" si="176"/>
        <v>5.4643217058326936</v>
      </c>
      <c r="AM290">
        <f t="shared" si="177"/>
        <v>0.4989386981579661</v>
      </c>
      <c r="AN290">
        <f t="shared" si="178"/>
        <v>2.4700626005231593E-2</v>
      </c>
      <c r="AO290">
        <f t="shared" si="179"/>
        <v>0.43859469401512036</v>
      </c>
      <c r="AP290">
        <f t="shared" si="180"/>
        <v>-0.1601164357313398</v>
      </c>
      <c r="AQ290">
        <f t="shared" si="181"/>
        <v>-0.53079607722335787</v>
      </c>
      <c r="AR290">
        <f t="shared" si="182"/>
        <v>1.2422378084755559</v>
      </c>
      <c r="AS290">
        <f t="shared" si="183"/>
        <v>0.73423963689237504</v>
      </c>
      <c r="AT290">
        <f t="shared" si="184"/>
        <v>0.72299781385062811</v>
      </c>
      <c r="AU290">
        <f t="shared" si="185"/>
        <v>0.49209677806437863</v>
      </c>
      <c r="AV290">
        <f t="shared" si="186"/>
        <v>-1.5523341733706502</v>
      </c>
      <c r="AW290">
        <f t="shared" si="187"/>
        <v>-1.6275806529650592</v>
      </c>
      <c r="AX290">
        <f t="shared" si="188"/>
        <v>-1.3960904162786736</v>
      </c>
      <c r="AY290">
        <f t="shared" si="189"/>
        <v>-1.4557013240319467</v>
      </c>
      <c r="AZ290">
        <f t="shared" si="190"/>
        <v>0.65457931623317955</v>
      </c>
      <c r="BA290">
        <f t="shared" si="191"/>
        <v>1.0466038001161129</v>
      </c>
      <c r="BB290">
        <f t="shared" si="192"/>
        <v>0.86766393022712207</v>
      </c>
      <c r="BC290">
        <f t="shared" si="193"/>
        <v>0.49890467572132136</v>
      </c>
      <c r="BD290">
        <f t="shared" si="194"/>
        <v>0</v>
      </c>
    </row>
    <row r="291" spans="1:56" x14ac:dyDescent="0.2">
      <c r="A291" t="s">
        <v>219</v>
      </c>
      <c r="B291">
        <v>237729.8438</v>
      </c>
      <c r="C291">
        <v>141705.60939999999</v>
      </c>
      <c r="D291">
        <v>427469.875</v>
      </c>
      <c r="E291">
        <v>221244.5</v>
      </c>
      <c r="F291">
        <v>553988.25</v>
      </c>
      <c r="G291">
        <v>539245.875</v>
      </c>
      <c r="H291">
        <v>620038.1875</v>
      </c>
      <c r="I291">
        <v>543637.5625</v>
      </c>
      <c r="J291">
        <v>84920.265620000006</v>
      </c>
      <c r="K291">
        <v>80742.257809999996</v>
      </c>
      <c r="L291">
        <v>98967.1875</v>
      </c>
      <c r="M291">
        <v>118167.50780000001</v>
      </c>
      <c r="N291">
        <v>495631.09379999997</v>
      </c>
      <c r="O291">
        <v>668299.75</v>
      </c>
      <c r="P291">
        <v>629219.6875</v>
      </c>
      <c r="Q291">
        <v>338170.5</v>
      </c>
      <c r="R291" s="2" t="s">
        <v>396</v>
      </c>
      <c r="S291" s="4" t="s">
        <v>422</v>
      </c>
      <c r="T291">
        <f t="shared" si="159"/>
        <v>5.376083705009985</v>
      </c>
      <c r="U291">
        <f t="shared" si="160"/>
        <v>5.1513870420840808</v>
      </c>
      <c r="V291">
        <f t="shared" si="161"/>
        <v>5.6309055141934108</v>
      </c>
      <c r="W291">
        <f t="shared" si="162"/>
        <v>5.3448724832146537</v>
      </c>
      <c r="X291">
        <f t="shared" si="163"/>
        <v>5.7435005535113204</v>
      </c>
      <c r="Y291">
        <f t="shared" si="164"/>
        <v>5.7317868316204983</v>
      </c>
      <c r="Z291">
        <f t="shared" si="165"/>
        <v>5.7924184380624517</v>
      </c>
      <c r="AA291">
        <f t="shared" si="166"/>
        <v>5.7353094565646616</v>
      </c>
      <c r="AB291">
        <f t="shared" si="167"/>
        <v>4.9290113439150618</v>
      </c>
      <c r="AC291">
        <f t="shared" si="168"/>
        <v>4.907100889497312</v>
      </c>
      <c r="AD291">
        <f t="shared" si="169"/>
        <v>4.9954912284383299</v>
      </c>
      <c r="AE291">
        <f t="shared" si="170"/>
        <v>5.0724980761810734</v>
      </c>
      <c r="AF291">
        <f t="shared" si="171"/>
        <v>5.6951585443589181</v>
      </c>
      <c r="AG291">
        <f t="shared" si="172"/>
        <v>5.8249712986612652</v>
      </c>
      <c r="AH291">
        <f t="shared" si="173"/>
        <v>5.7988023026970357</v>
      </c>
      <c r="AI291">
        <f t="shared" si="174"/>
        <v>5.5291357196247981</v>
      </c>
      <c r="AJ291" t="str">
        <f t="shared" si="175"/>
        <v>C00624</v>
      </c>
      <c r="AL291">
        <f t="shared" si="176"/>
        <v>5.4536520892271803</v>
      </c>
      <c r="AM291">
        <f t="shared" si="177"/>
        <v>0.34120209302042759</v>
      </c>
      <c r="AN291">
        <f t="shared" si="178"/>
        <v>-0.22733853573562715</v>
      </c>
      <c r="AO291">
        <f t="shared" si="179"/>
        <v>-0.88588274610907203</v>
      </c>
      <c r="AP291">
        <f t="shared" si="180"/>
        <v>0.51949688642624614</v>
      </c>
      <c r="AQ291">
        <f t="shared" si="181"/>
        <v>-0.31881283332577326</v>
      </c>
      <c r="AR291">
        <f t="shared" si="182"/>
        <v>0.8494920465414233</v>
      </c>
      <c r="AS291">
        <f t="shared" si="183"/>
        <v>0.81516130200486858</v>
      </c>
      <c r="AT291">
        <f t="shared" si="184"/>
        <v>0.99286128592121414</v>
      </c>
      <c r="AU291">
        <f t="shared" si="185"/>
        <v>0.82548546183923521</v>
      </c>
      <c r="AV291">
        <f t="shared" si="186"/>
        <v>-1.5376246396023969</v>
      </c>
      <c r="AW291">
        <f t="shared" si="187"/>
        <v>-1.6018401144366559</v>
      </c>
      <c r="AX291">
        <f t="shared" si="188"/>
        <v>-1.3427844381992711</v>
      </c>
      <c r="AY291">
        <f t="shared" si="189"/>
        <v>-1.1170916616366928</v>
      </c>
      <c r="AZ291">
        <f t="shared" si="190"/>
        <v>0.7078105910601169</v>
      </c>
      <c r="BA291">
        <f t="shared" si="191"/>
        <v>1.0882676778065785</v>
      </c>
      <c r="BB291">
        <f t="shared" si="192"/>
        <v>1.0115712081789354</v>
      </c>
      <c r="BC291">
        <f t="shared" si="193"/>
        <v>0.22122850926679014</v>
      </c>
      <c r="BD291" t="str">
        <f t="shared" si="194"/>
        <v>C00624</v>
      </c>
    </row>
    <row r="292" spans="1:56" x14ac:dyDescent="0.2">
      <c r="A292" t="s">
        <v>219</v>
      </c>
      <c r="B292">
        <v>209337.2188</v>
      </c>
      <c r="C292">
        <v>209611.7188</v>
      </c>
      <c r="D292">
        <v>571982.875</v>
      </c>
      <c r="E292">
        <v>271710.34379999997</v>
      </c>
      <c r="F292">
        <v>689770.1875</v>
      </c>
      <c r="G292">
        <v>611225.5</v>
      </c>
      <c r="H292">
        <v>962288.375</v>
      </c>
      <c r="I292">
        <v>876693.9375</v>
      </c>
      <c r="J292">
        <v>107755.05469999999</v>
      </c>
      <c r="K292">
        <v>77510.804690000004</v>
      </c>
      <c r="L292">
        <v>94195.210940000004</v>
      </c>
      <c r="M292">
        <v>142597.17189999999</v>
      </c>
      <c r="N292">
        <v>717536.9375</v>
      </c>
      <c r="O292">
        <v>1173121</v>
      </c>
      <c r="P292">
        <v>1061225.375</v>
      </c>
      <c r="Q292">
        <v>451870.28120000003</v>
      </c>
      <c r="R292" s="2" t="s">
        <v>396</v>
      </c>
      <c r="S292" s="4" t="s">
        <v>422</v>
      </c>
      <c r="T292">
        <f t="shared" si="159"/>
        <v>5.3208464499462256</v>
      </c>
      <c r="U292">
        <f t="shared" si="160"/>
        <v>5.3214155591700125</v>
      </c>
      <c r="V292">
        <f t="shared" si="161"/>
        <v>5.75738302633789</v>
      </c>
      <c r="W292">
        <f t="shared" si="162"/>
        <v>5.4341061719834132</v>
      </c>
      <c r="X292">
        <f t="shared" si="163"/>
        <v>5.8387044198312603</v>
      </c>
      <c r="Y292">
        <f t="shared" si="164"/>
        <v>5.7862014644784221</v>
      </c>
      <c r="Z292">
        <f t="shared" si="165"/>
        <v>5.9833052392973398</v>
      </c>
      <c r="AA292">
        <f t="shared" si="166"/>
        <v>5.9428480033384137</v>
      </c>
      <c r="AB292">
        <f t="shared" si="167"/>
        <v>5.0324376517035692</v>
      </c>
      <c r="AC292">
        <f t="shared" si="168"/>
        <v>4.8893622456053887</v>
      </c>
      <c r="AD292">
        <f t="shared" si="169"/>
        <v>4.974028823013656</v>
      </c>
      <c r="AE292">
        <f t="shared" si="170"/>
        <v>5.1541109123292843</v>
      </c>
      <c r="AF292">
        <f t="shared" si="171"/>
        <v>5.8558442626736511</v>
      </c>
      <c r="AG292">
        <f t="shared" si="172"/>
        <v>6.0693428091505988</v>
      </c>
      <c r="AH292">
        <f t="shared" si="173"/>
        <v>6.0258076258661948</v>
      </c>
      <c r="AI292">
        <f t="shared" si="174"/>
        <v>5.6550137794031947</v>
      </c>
      <c r="AJ292" t="str">
        <f t="shared" si="175"/>
        <v>C00624</v>
      </c>
      <c r="AL292">
        <f t="shared" si="176"/>
        <v>5.5650474027580312</v>
      </c>
      <c r="AM292">
        <f t="shared" si="177"/>
        <v>0.40267979953205296</v>
      </c>
      <c r="AN292">
        <f t="shared" si="178"/>
        <v>-0.60643954103381204</v>
      </c>
      <c r="AO292">
        <f t="shared" si="179"/>
        <v>-0.60502623640703834</v>
      </c>
      <c r="AP292">
        <f t="shared" si="180"/>
        <v>0.47763911624911054</v>
      </c>
      <c r="AQ292">
        <f t="shared" si="181"/>
        <v>-0.32517457028334307</v>
      </c>
      <c r="AR292">
        <f t="shared" si="182"/>
        <v>0.67958963273360384</v>
      </c>
      <c r="AS292">
        <f t="shared" si="183"/>
        <v>0.54920575101455316</v>
      </c>
      <c r="AT292">
        <f t="shared" si="184"/>
        <v>1.0386859162673632</v>
      </c>
      <c r="AU292">
        <f t="shared" si="185"/>
        <v>0.93821592495927986</v>
      </c>
      <c r="AV292">
        <f t="shared" si="186"/>
        <v>-1.322663197094561</v>
      </c>
      <c r="AW292">
        <f t="shared" si="187"/>
        <v>-1.6779713259464326</v>
      </c>
      <c r="AX292">
        <f t="shared" si="188"/>
        <v>-1.467713504454873</v>
      </c>
      <c r="AY292">
        <f t="shared" si="189"/>
        <v>-1.0205043583171765</v>
      </c>
      <c r="AZ292">
        <f t="shared" si="190"/>
        <v>0.72215407937907428</v>
      </c>
      <c r="BA292">
        <f t="shared" si="191"/>
        <v>1.2523484092785391</v>
      </c>
      <c r="BB292">
        <f t="shared" si="192"/>
        <v>1.1442347583454766</v>
      </c>
      <c r="BC292">
        <f t="shared" si="193"/>
        <v>0.22341914531027338</v>
      </c>
      <c r="BD292" t="str">
        <f t="shared" si="194"/>
        <v>C00624</v>
      </c>
    </row>
    <row r="293" spans="1:56" x14ac:dyDescent="0.2">
      <c r="A293" t="s">
        <v>331</v>
      </c>
      <c r="B293">
        <v>3351729</v>
      </c>
      <c r="C293">
        <v>4057501.75</v>
      </c>
      <c r="D293">
        <v>2864146.25</v>
      </c>
      <c r="E293">
        <v>2909246</v>
      </c>
      <c r="F293">
        <v>2030657.625</v>
      </c>
      <c r="G293">
        <v>1764183.5</v>
      </c>
      <c r="H293">
        <v>2465520.25</v>
      </c>
      <c r="I293">
        <v>3045816.75</v>
      </c>
      <c r="J293">
        <v>1209194.625</v>
      </c>
      <c r="K293">
        <v>993181.0625</v>
      </c>
      <c r="L293">
        <v>1140974</v>
      </c>
      <c r="M293">
        <v>1287792.75</v>
      </c>
      <c r="N293">
        <v>1280907.25</v>
      </c>
      <c r="O293">
        <v>822851.6875</v>
      </c>
      <c r="P293">
        <v>868748.5</v>
      </c>
      <c r="Q293">
        <v>749415.5</v>
      </c>
      <c r="R293" s="2" t="s">
        <v>415</v>
      </c>
      <c r="S293" s="4" t="s">
        <v>422</v>
      </c>
      <c r="T293">
        <f t="shared" si="159"/>
        <v>6.5252688970219435</v>
      </c>
      <c r="U293">
        <f t="shared" si="160"/>
        <v>6.6082587158094661</v>
      </c>
      <c r="V293">
        <f t="shared" si="161"/>
        <v>6.4569951902930542</v>
      </c>
      <c r="W293">
        <f t="shared" si="162"/>
        <v>6.4637804458690882</v>
      </c>
      <c r="X293">
        <f t="shared" si="163"/>
        <v>6.3076367062174796</v>
      </c>
      <c r="Y293">
        <f t="shared" si="164"/>
        <v>6.2465437559050327</v>
      </c>
      <c r="Z293">
        <f t="shared" si="165"/>
        <v>6.3919085738625503</v>
      </c>
      <c r="AA293">
        <f t="shared" si="166"/>
        <v>6.4837037706816263</v>
      </c>
      <c r="AB293">
        <f t="shared" si="167"/>
        <v>6.0824962080244465</v>
      </c>
      <c r="AC293">
        <f t="shared" si="168"/>
        <v>5.9970284300426551</v>
      </c>
      <c r="AD293">
        <f t="shared" si="169"/>
        <v>6.0572757480245398</v>
      </c>
      <c r="AE293">
        <f t="shared" si="170"/>
        <v>6.1098459757771826</v>
      </c>
      <c r="AF293">
        <f t="shared" si="171"/>
        <v>6.1075176837872149</v>
      </c>
      <c r="AG293">
        <f t="shared" si="172"/>
        <v>5.9153215641250139</v>
      </c>
      <c r="AH293">
        <f t="shared" si="173"/>
        <v>5.9388940677365474</v>
      </c>
      <c r="AI293">
        <f t="shared" si="174"/>
        <v>5.8747226712702627</v>
      </c>
      <c r="AJ293" t="str">
        <f t="shared" si="175"/>
        <v>C02262</v>
      </c>
      <c r="AL293">
        <f t="shared" si="176"/>
        <v>6.2229499002780058</v>
      </c>
      <c r="AM293">
        <f t="shared" si="177"/>
        <v>0.24191213690026109</v>
      </c>
      <c r="AN293">
        <f t="shared" si="178"/>
        <v>1.2497057841648598</v>
      </c>
      <c r="AO293">
        <f t="shared" si="179"/>
        <v>1.5927634738323231</v>
      </c>
      <c r="AP293">
        <f t="shared" si="180"/>
        <v>0.96748056138888117</v>
      </c>
      <c r="AQ293">
        <f t="shared" si="181"/>
        <v>0.99552899113274085</v>
      </c>
      <c r="AR293">
        <f t="shared" si="182"/>
        <v>0.35007258017149312</v>
      </c>
      <c r="AS293">
        <f t="shared" si="183"/>
        <v>9.7530681715050069E-2</v>
      </c>
      <c r="AT293">
        <f t="shared" si="184"/>
        <v>0.69842991653703246</v>
      </c>
      <c r="AU293">
        <f t="shared" si="185"/>
        <v>1.0778866812752259</v>
      </c>
      <c r="AV293">
        <f t="shared" si="186"/>
        <v>-0.58059795615574061</v>
      </c>
      <c r="AW293">
        <f t="shared" si="187"/>
        <v>-0.93389886563854696</v>
      </c>
      <c r="AX293">
        <f t="shared" si="188"/>
        <v>-0.68485258481170119</v>
      </c>
      <c r="AY293">
        <f t="shared" si="189"/>
        <v>-0.4675413393890826</v>
      </c>
      <c r="AZ293">
        <f t="shared" si="190"/>
        <v>-0.47716587505645836</v>
      </c>
      <c r="BA293">
        <f t="shared" si="191"/>
        <v>-1.2716531716630042</v>
      </c>
      <c r="BB293">
        <f t="shared" si="192"/>
        <v>-1.1742107534628281</v>
      </c>
      <c r="BC293">
        <f t="shared" si="193"/>
        <v>-1.4394781240401966</v>
      </c>
      <c r="BD293" t="str">
        <f t="shared" si="194"/>
        <v>C02262</v>
      </c>
    </row>
    <row r="294" spans="1:56" x14ac:dyDescent="0.2">
      <c r="A294" t="s">
        <v>331</v>
      </c>
      <c r="B294">
        <v>598896.875</v>
      </c>
      <c r="C294">
        <v>717461.0625</v>
      </c>
      <c r="D294">
        <v>739911.625</v>
      </c>
      <c r="E294">
        <v>623436.8125</v>
      </c>
      <c r="F294">
        <v>509949.375</v>
      </c>
      <c r="G294">
        <v>439108.5625</v>
      </c>
      <c r="H294">
        <v>627633.125</v>
      </c>
      <c r="I294">
        <v>884286.5625</v>
      </c>
      <c r="J294">
        <v>251095.20310000001</v>
      </c>
      <c r="K294">
        <v>174066.98439999999</v>
      </c>
      <c r="L294">
        <v>153814.4688</v>
      </c>
      <c r="M294">
        <v>208058.6562</v>
      </c>
      <c r="N294">
        <v>287502.375</v>
      </c>
      <c r="O294">
        <v>192580.4375</v>
      </c>
      <c r="P294">
        <v>217832.92189999999</v>
      </c>
      <c r="Q294">
        <v>161425.5938</v>
      </c>
      <c r="R294" s="2" t="s">
        <v>415</v>
      </c>
      <c r="S294" s="4" t="s">
        <v>422</v>
      </c>
      <c r="T294">
        <f t="shared" si="159"/>
        <v>5.7773520469733439</v>
      </c>
      <c r="U294">
        <f t="shared" si="160"/>
        <v>5.8557983363464432</v>
      </c>
      <c r="V294">
        <f t="shared" si="161"/>
        <v>5.869179850721725</v>
      </c>
      <c r="W294">
        <f t="shared" si="162"/>
        <v>5.7947924427813637</v>
      </c>
      <c r="X294">
        <f t="shared" si="163"/>
        <v>5.7075270638441262</v>
      </c>
      <c r="Y294">
        <f t="shared" si="164"/>
        <v>5.6425719058136679</v>
      </c>
      <c r="Z294">
        <f t="shared" si="165"/>
        <v>5.7977058565609738</v>
      </c>
      <c r="AA294">
        <f t="shared" si="166"/>
        <v>5.9465930255845771</v>
      </c>
      <c r="AB294">
        <f t="shared" si="167"/>
        <v>5.3998384160697546</v>
      </c>
      <c r="AC294">
        <f t="shared" si="168"/>
        <v>5.2407164055078264</v>
      </c>
      <c r="AD294">
        <f t="shared" si="169"/>
        <v>5.1869971899806693</v>
      </c>
      <c r="AE294">
        <f t="shared" si="170"/>
        <v>5.3181857891589601</v>
      </c>
      <c r="AF294">
        <f t="shared" si="171"/>
        <v>5.4586414366608986</v>
      </c>
      <c r="AG294">
        <f t="shared" si="172"/>
        <v>5.28461216899154</v>
      </c>
      <c r="AH294">
        <f t="shared" si="173"/>
        <v>5.3381235169211774</v>
      </c>
      <c r="AI294">
        <f t="shared" si="174"/>
        <v>5.2079723926221799</v>
      </c>
      <c r="AJ294" t="str">
        <f t="shared" si="175"/>
        <v>C02262</v>
      </c>
      <c r="AL294">
        <f t="shared" si="176"/>
        <v>5.5516629902837016</v>
      </c>
      <c r="AM294">
        <f t="shared" si="177"/>
        <v>0.2712133631193448</v>
      </c>
      <c r="AN294">
        <f t="shared" si="178"/>
        <v>0.83214578401997863</v>
      </c>
      <c r="AO294">
        <f t="shared" si="179"/>
        <v>1.1213877611513923</v>
      </c>
      <c r="AP294">
        <f t="shared" si="180"/>
        <v>1.1707271971635971</v>
      </c>
      <c r="AQ294">
        <f t="shared" si="181"/>
        <v>0.8964508595790518</v>
      </c>
      <c r="AR294">
        <f t="shared" si="182"/>
        <v>0.57469171787025175</v>
      </c>
      <c r="AS294">
        <f t="shared" si="183"/>
        <v>0.33519334919335331</v>
      </c>
      <c r="AT294">
        <f t="shared" si="184"/>
        <v>0.90719300644859258</v>
      </c>
      <c r="AU294">
        <f t="shared" si="185"/>
        <v>1.456159942705664</v>
      </c>
      <c r="AV294">
        <f t="shared" si="186"/>
        <v>-0.55979754267173809</v>
      </c>
      <c r="AW294">
        <f t="shared" si="187"/>
        <v>-1.1465017106809969</v>
      </c>
      <c r="AX294">
        <f t="shared" si="188"/>
        <v>-1.3445716542461246</v>
      </c>
      <c r="AY294">
        <f t="shared" si="189"/>
        <v>-0.86086171580713045</v>
      </c>
      <c r="AZ294">
        <f t="shared" si="190"/>
        <v>-0.34298292883846482</v>
      </c>
      <c r="BA294">
        <f t="shared" si="191"/>
        <v>-0.98465215069306344</v>
      </c>
      <c r="BB294">
        <f t="shared" si="192"/>
        <v>-0.78734864280473615</v>
      </c>
      <c r="BC294">
        <f t="shared" si="193"/>
        <v>-1.2672332723896202</v>
      </c>
      <c r="BD294" t="str">
        <f t="shared" si="194"/>
        <v>C02262</v>
      </c>
    </row>
    <row r="295" spans="1:56" x14ac:dyDescent="0.2">
      <c r="A295" t="s">
        <v>333</v>
      </c>
      <c r="B295">
        <v>387606.28120000003</v>
      </c>
      <c r="C295">
        <v>87497.484379999994</v>
      </c>
      <c r="D295">
        <v>187511.42189999999</v>
      </c>
      <c r="E295">
        <v>108216.5</v>
      </c>
      <c r="F295">
        <v>104419.28909999999</v>
      </c>
      <c r="G295">
        <v>93032.710940000004</v>
      </c>
      <c r="H295">
        <v>108530.80469999999</v>
      </c>
      <c r="I295">
        <v>89774.570309999996</v>
      </c>
      <c r="J295">
        <v>64809.261720000002</v>
      </c>
      <c r="K295">
        <v>61286.6875</v>
      </c>
      <c r="L295">
        <v>61016.136720000002</v>
      </c>
      <c r="M295">
        <v>81994.898440000004</v>
      </c>
      <c r="N295">
        <v>93762.445309999996</v>
      </c>
      <c r="O295">
        <v>115331.94530000001</v>
      </c>
      <c r="P295">
        <v>94488.34375</v>
      </c>
      <c r="Q295">
        <v>46596.871090000001</v>
      </c>
      <c r="R295" s="2" t="s">
        <v>416</v>
      </c>
      <c r="S295" s="4" t="s">
        <v>422</v>
      </c>
      <c r="T295">
        <f t="shared" si="159"/>
        <v>5.5883908062228889</v>
      </c>
      <c r="U295">
        <f t="shared" si="160"/>
        <v>4.9419955669012872</v>
      </c>
      <c r="V295">
        <f t="shared" si="161"/>
        <v>5.2730277270880634</v>
      </c>
      <c r="W295">
        <f t="shared" si="162"/>
        <v>5.0342934836229238</v>
      </c>
      <c r="X295">
        <f t="shared" si="163"/>
        <v>5.018780732151864</v>
      </c>
      <c r="Y295">
        <f t="shared" si="164"/>
        <v>4.9686356763276098</v>
      </c>
      <c r="Z295">
        <f t="shared" si="165"/>
        <v>5.035553023091822</v>
      </c>
      <c r="AA295">
        <f t="shared" si="166"/>
        <v>4.9531533351298567</v>
      </c>
      <c r="AB295">
        <f t="shared" si="167"/>
        <v>4.8116370741802559</v>
      </c>
      <c r="AC295">
        <f t="shared" si="168"/>
        <v>4.7873661486918353</v>
      </c>
      <c r="AD295">
        <f t="shared" si="169"/>
        <v>4.785444706513525</v>
      </c>
      <c r="AE295">
        <f t="shared" si="170"/>
        <v>4.9137868322827396</v>
      </c>
      <c r="AF295">
        <f t="shared" si="171"/>
        <v>4.9720289251542971</v>
      </c>
      <c r="AG295">
        <f t="shared" si="172"/>
        <v>5.0619496173201242</v>
      </c>
      <c r="AH295">
        <f t="shared" si="173"/>
        <v>4.9753782364744943</v>
      </c>
      <c r="AI295">
        <f t="shared" si="174"/>
        <v>4.6683567554460232</v>
      </c>
      <c r="AJ295" t="str">
        <f t="shared" si="175"/>
        <v>C12269</v>
      </c>
      <c r="AL295">
        <f t="shared" si="176"/>
        <v>4.9868611654124759</v>
      </c>
      <c r="AM295">
        <f t="shared" si="177"/>
        <v>0.21239828597291269</v>
      </c>
      <c r="AN295">
        <f t="shared" si="178"/>
        <v>2.8320833101596992</v>
      </c>
      <c r="AO295">
        <f t="shared" si="179"/>
        <v>-0.21123333602094374</v>
      </c>
      <c r="AP295">
        <f t="shared" si="180"/>
        <v>1.3473110687535517</v>
      </c>
      <c r="AQ295">
        <f t="shared" si="181"/>
        <v>0.22331780123921052</v>
      </c>
      <c r="AR295">
        <f t="shared" si="182"/>
        <v>0.15028165878635594</v>
      </c>
      <c r="AS295">
        <f t="shared" si="183"/>
        <v>-8.580807985988366E-2</v>
      </c>
      <c r="AT295">
        <f t="shared" si="184"/>
        <v>0.22924788425814199</v>
      </c>
      <c r="AU295">
        <f t="shared" si="185"/>
        <v>-0.15870104661257972</v>
      </c>
      <c r="AV295">
        <f t="shared" si="186"/>
        <v>-0.82497883836297303</v>
      </c>
      <c r="AW295">
        <f t="shared" si="187"/>
        <v>-0.93924965451972797</v>
      </c>
      <c r="AX295">
        <f t="shared" si="188"/>
        <v>-0.94829606546183554</v>
      </c>
      <c r="AY295">
        <f t="shared" si="189"/>
        <v>-0.34404389279796516</v>
      </c>
      <c r="AZ295">
        <f t="shared" si="190"/>
        <v>-6.9832203166038873E-2</v>
      </c>
      <c r="BA295">
        <f t="shared" si="191"/>
        <v>0.35352663776780346</v>
      </c>
      <c r="BB295">
        <f t="shared" si="192"/>
        <v>-5.4063190224831033E-2</v>
      </c>
      <c r="BC295">
        <f t="shared" si="193"/>
        <v>-1.4995620539380048</v>
      </c>
      <c r="BD295" t="str">
        <f t="shared" si="194"/>
        <v>C12269</v>
      </c>
    </row>
    <row r="296" spans="1:56" x14ac:dyDescent="0.2">
      <c r="A296" t="s">
        <v>222</v>
      </c>
      <c r="B296">
        <v>8016214.5</v>
      </c>
      <c r="C296">
        <v>5455120.5</v>
      </c>
      <c r="D296">
        <v>5008224</v>
      </c>
      <c r="E296">
        <v>7333014</v>
      </c>
      <c r="F296">
        <v>14452451</v>
      </c>
      <c r="G296">
        <v>7989918</v>
      </c>
      <c r="H296">
        <v>9699105</v>
      </c>
      <c r="I296">
        <v>8747569</v>
      </c>
      <c r="J296">
        <v>15710360</v>
      </c>
      <c r="K296">
        <v>12861655</v>
      </c>
      <c r="L296">
        <v>11613560</v>
      </c>
      <c r="M296">
        <v>19428976</v>
      </c>
      <c r="N296">
        <v>7496118.5</v>
      </c>
      <c r="O296">
        <v>15869383</v>
      </c>
      <c r="P296">
        <v>10900118</v>
      </c>
      <c r="Q296">
        <v>8416138</v>
      </c>
      <c r="R296" s="2" t="s">
        <v>397</v>
      </c>
      <c r="S296" s="4" t="s">
        <v>422</v>
      </c>
      <c r="T296">
        <f t="shared" si="159"/>
        <v>6.9039693296459257</v>
      </c>
      <c r="U296">
        <f t="shared" si="160"/>
        <v>6.7368043483078752</v>
      </c>
      <c r="V296">
        <f t="shared" si="161"/>
        <v>6.699683745080244</v>
      </c>
      <c r="W296">
        <f t="shared" si="162"/>
        <v>6.865282514140155</v>
      </c>
      <c r="X296">
        <f t="shared" si="163"/>
        <v>7.1599415056053131</v>
      </c>
      <c r="Y296">
        <f t="shared" si="164"/>
        <v>6.9025423222013185</v>
      </c>
      <c r="Z296">
        <f t="shared" si="165"/>
        <v>6.9867316609163064</v>
      </c>
      <c r="AA296">
        <f t="shared" si="166"/>
        <v>6.9418873768424048</v>
      </c>
      <c r="AB296">
        <f t="shared" si="167"/>
        <v>7.1961861369318987</v>
      </c>
      <c r="AC296">
        <f t="shared" si="168"/>
        <v>7.109296855922711</v>
      </c>
      <c r="AD296">
        <f t="shared" si="169"/>
        <v>7.0649653680041871</v>
      </c>
      <c r="AE296">
        <f t="shared" si="170"/>
        <v>7.2884499118057198</v>
      </c>
      <c r="AF296">
        <f t="shared" si="171"/>
        <v>6.8748364433398779</v>
      </c>
      <c r="AG296">
        <f t="shared" si="172"/>
        <v>7.200560041757722</v>
      </c>
      <c r="AH296">
        <f t="shared" si="173"/>
        <v>7.0374311994517686</v>
      </c>
      <c r="AI296">
        <f t="shared" si="174"/>
        <v>6.9251128480248658</v>
      </c>
      <c r="AJ296" t="str">
        <f t="shared" si="175"/>
        <v>C00020</v>
      </c>
      <c r="AL296">
        <f t="shared" si="176"/>
        <v>6.9933551004986425</v>
      </c>
      <c r="AM296">
        <f t="shared" si="177"/>
        <v>0.16842733543214955</v>
      </c>
      <c r="AN296">
        <f t="shared" si="178"/>
        <v>-0.53070821683054892</v>
      </c>
      <c r="AO296">
        <f t="shared" si="179"/>
        <v>-1.5232132689893321</v>
      </c>
      <c r="AP296">
        <f t="shared" si="180"/>
        <v>-1.7436086289965866</v>
      </c>
      <c r="AQ296">
        <f t="shared" si="181"/>
        <v>-0.76040261534673015</v>
      </c>
      <c r="AR296">
        <f t="shared" si="182"/>
        <v>0.98906988393092155</v>
      </c>
      <c r="AS296">
        <f t="shared" si="183"/>
        <v>-0.53918075747216043</v>
      </c>
      <c r="AT296">
        <f t="shared" si="184"/>
        <v>-3.9325205527604899E-2</v>
      </c>
      <c r="AU296">
        <f t="shared" si="185"/>
        <v>-0.30557820988013773</v>
      </c>
      <c r="AV296">
        <f t="shared" si="186"/>
        <v>1.2042643547903544</v>
      </c>
      <c r="AW296">
        <f t="shared" si="187"/>
        <v>0.68837849347070668</v>
      </c>
      <c r="AX296">
        <f t="shared" si="188"/>
        <v>0.42517010271407246</v>
      </c>
      <c r="AY296">
        <f t="shared" si="189"/>
        <v>1.7520600830614894</v>
      </c>
      <c r="AZ296">
        <f t="shared" si="190"/>
        <v>-0.70367827677538441</v>
      </c>
      <c r="BA296">
        <f t="shared" si="191"/>
        <v>1.2302334459393702</v>
      </c>
      <c r="BB296">
        <f t="shared" si="192"/>
        <v>0.26169207533940991</v>
      </c>
      <c r="BC296">
        <f t="shared" si="193"/>
        <v>-0.40517325942776</v>
      </c>
      <c r="BD296" t="str">
        <f t="shared" si="194"/>
        <v>C00020</v>
      </c>
    </row>
    <row r="297" spans="1:56" x14ac:dyDescent="0.2">
      <c r="A297" t="s">
        <v>334</v>
      </c>
      <c r="B297">
        <v>107380.49219999999</v>
      </c>
      <c r="C297">
        <v>98605.195309999996</v>
      </c>
      <c r="D297">
        <v>103138.64840000001</v>
      </c>
      <c r="E297">
        <v>86894.601559999996</v>
      </c>
      <c r="F297">
        <v>96117.789059999996</v>
      </c>
      <c r="G297">
        <v>91880.296879999994</v>
      </c>
      <c r="H297">
        <v>80288.304690000004</v>
      </c>
      <c r="I297">
        <v>83113.375</v>
      </c>
      <c r="J297">
        <v>97663.617190000004</v>
      </c>
      <c r="K297">
        <v>85533.671879999994</v>
      </c>
      <c r="L297">
        <v>98862.890620000006</v>
      </c>
      <c r="M297">
        <v>80228.234379999994</v>
      </c>
      <c r="N297">
        <v>88951.195309999996</v>
      </c>
      <c r="O297">
        <v>86028.484379999994</v>
      </c>
      <c r="P297">
        <v>85640.90625</v>
      </c>
      <c r="Q297">
        <v>96871.890620000006</v>
      </c>
      <c r="R297" s="2"/>
      <c r="S297" s="4" t="s">
        <v>422</v>
      </c>
      <c r="T297">
        <f t="shared" si="159"/>
        <v>5.0309253903075515</v>
      </c>
      <c r="U297">
        <f t="shared" si="160"/>
        <v>4.9938997976493642</v>
      </c>
      <c r="V297">
        <f t="shared" si="161"/>
        <v>5.013421435813493</v>
      </c>
      <c r="W297">
        <f t="shared" si="162"/>
        <v>4.938992796177903</v>
      </c>
      <c r="X297">
        <f t="shared" si="163"/>
        <v>4.9828037724306018</v>
      </c>
      <c r="Y297">
        <f t="shared" si="164"/>
        <v>4.9632223898004968</v>
      </c>
      <c r="Z297">
        <f t="shared" si="165"/>
        <v>4.9046522877629366</v>
      </c>
      <c r="AA297">
        <f t="shared" si="166"/>
        <v>4.9196709181437921</v>
      </c>
      <c r="AB297">
        <f t="shared" si="167"/>
        <v>4.9897328053112551</v>
      </c>
      <c r="AC297">
        <f t="shared" si="168"/>
        <v>4.9321371162825161</v>
      </c>
      <c r="AD297">
        <f t="shared" si="169"/>
        <v>4.9950333045059256</v>
      </c>
      <c r="AE297">
        <f t="shared" si="170"/>
        <v>4.9043272345873792</v>
      </c>
      <c r="AF297">
        <f t="shared" si="171"/>
        <v>4.9491517884294911</v>
      </c>
      <c r="AG297">
        <f t="shared" si="172"/>
        <v>4.9346422717185554</v>
      </c>
      <c r="AH297">
        <f t="shared" si="173"/>
        <v>4.9326812543404275</v>
      </c>
      <c r="AI297">
        <f t="shared" si="174"/>
        <v>4.9861977758163212</v>
      </c>
      <c r="AJ297">
        <f t="shared" si="175"/>
        <v>0</v>
      </c>
      <c r="AL297">
        <f t="shared" si="176"/>
        <v>4.9607182711923761</v>
      </c>
      <c r="AM297">
        <f t="shared" si="177"/>
        <v>3.9044598117212732E-2</v>
      </c>
      <c r="AN297">
        <f t="shared" si="178"/>
        <v>1.7981263094170443</v>
      </c>
      <c r="AO297">
        <f t="shared" si="179"/>
        <v>0.84983654735993097</v>
      </c>
      <c r="AP297">
        <f t="shared" si="180"/>
        <v>1.3498196207040181</v>
      </c>
      <c r="AQ297">
        <f t="shared" si="181"/>
        <v>-0.55642716437374351</v>
      </c>
      <c r="AR297">
        <f t="shared" si="182"/>
        <v>0.56564806153016534</v>
      </c>
      <c r="AS297">
        <f t="shared" si="183"/>
        <v>6.4134828603006788E-2</v>
      </c>
      <c r="AT297">
        <f t="shared" si="184"/>
        <v>-1.4359472534748128</v>
      </c>
      <c r="AU297">
        <f t="shared" si="185"/>
        <v>-1.0512940336934429</v>
      </c>
      <c r="AV297">
        <f t="shared" si="186"/>
        <v>0.74311263319388599</v>
      </c>
      <c r="AW297">
        <f t="shared" si="187"/>
        <v>-0.73201303862979383</v>
      </c>
      <c r="AX297">
        <f t="shared" si="188"/>
        <v>0.87886762748934166</v>
      </c>
      <c r="AY297">
        <f t="shared" si="189"/>
        <v>-1.4442724300992873</v>
      </c>
      <c r="AZ297">
        <f t="shared" si="190"/>
        <v>-0.29623772098158452</v>
      </c>
      <c r="BA297">
        <f t="shared" si="191"/>
        <v>-0.66785165506224309</v>
      </c>
      <c r="BB297">
        <f t="shared" si="192"/>
        <v>-0.7180767174957432</v>
      </c>
      <c r="BC297">
        <f t="shared" si="193"/>
        <v>0.65257438551307601</v>
      </c>
      <c r="BD297">
        <f t="shared" si="194"/>
        <v>0</v>
      </c>
    </row>
    <row r="298" spans="1:56" x14ac:dyDescent="0.2">
      <c r="A298" t="s">
        <v>223</v>
      </c>
      <c r="B298">
        <v>18021778</v>
      </c>
      <c r="C298">
        <v>10116507</v>
      </c>
      <c r="D298">
        <v>1041365.438</v>
      </c>
      <c r="E298">
        <v>9083995</v>
      </c>
      <c r="F298">
        <v>4003110.75</v>
      </c>
      <c r="G298">
        <v>9923394</v>
      </c>
      <c r="H298">
        <v>1885775.875</v>
      </c>
      <c r="I298">
        <v>2308114.5</v>
      </c>
      <c r="J298">
        <v>103469.63280000001</v>
      </c>
      <c r="K298">
        <v>76033.625</v>
      </c>
      <c r="L298">
        <v>90465.992190000004</v>
      </c>
      <c r="M298">
        <v>97528.648440000004</v>
      </c>
      <c r="N298">
        <v>201898.17189999999</v>
      </c>
      <c r="O298">
        <v>267578</v>
      </c>
      <c r="P298">
        <v>251364.5312</v>
      </c>
      <c r="Q298">
        <v>161211.29689999999</v>
      </c>
      <c r="R298" s="2" t="s">
        <v>224</v>
      </c>
      <c r="S298" s="4" t="s">
        <v>422</v>
      </c>
      <c r="T298">
        <f t="shared" si="159"/>
        <v>7.2557976355607332</v>
      </c>
      <c r="U298">
        <f t="shared" si="160"/>
        <v>7.0050305863687656</v>
      </c>
      <c r="V298">
        <f t="shared" si="161"/>
        <v>6.0176031597282211</v>
      </c>
      <c r="W298">
        <f t="shared" si="162"/>
        <v>6.9582768865039935</v>
      </c>
      <c r="X298">
        <f t="shared" si="163"/>
        <v>6.6023976054557227</v>
      </c>
      <c r="Y298">
        <f t="shared" si="164"/>
        <v>6.9966602349943816</v>
      </c>
      <c r="Z298">
        <f t="shared" si="165"/>
        <v>6.2754900754454512</v>
      </c>
      <c r="AA298">
        <f t="shared" si="166"/>
        <v>6.3632573493211053</v>
      </c>
      <c r="AB298">
        <f t="shared" si="167"/>
        <v>5.0148129078362871</v>
      </c>
      <c r="AC298">
        <f t="shared" si="168"/>
        <v>4.8810056965234168</v>
      </c>
      <c r="AD298">
        <f t="shared" si="169"/>
        <v>4.9564853506977942</v>
      </c>
      <c r="AE298">
        <f t="shared" si="170"/>
        <v>4.989132205768982</v>
      </c>
      <c r="AF298">
        <f t="shared" si="171"/>
        <v>5.305132386614086</v>
      </c>
      <c r="AG298">
        <f t="shared" si="172"/>
        <v>5.427450403298435</v>
      </c>
      <c r="AH298">
        <f t="shared" si="173"/>
        <v>5.4003039965366817</v>
      </c>
      <c r="AI298">
        <f t="shared" si="174"/>
        <v>5.2073954717707345</v>
      </c>
      <c r="AJ298" t="str">
        <f t="shared" si="175"/>
        <v>C00492</v>
      </c>
      <c r="AL298">
        <f t="shared" si="176"/>
        <v>5.9160144970265494</v>
      </c>
      <c r="AM298">
        <f t="shared" si="177"/>
        <v>0.8598044911389302</v>
      </c>
      <c r="AN298">
        <f t="shared" si="178"/>
        <v>1.5582416146250357</v>
      </c>
      <c r="AO298">
        <f t="shared" si="179"/>
        <v>1.266585718690145</v>
      </c>
      <c r="AP298">
        <f t="shared" si="180"/>
        <v>0.11815321244380046</v>
      </c>
      <c r="AQ298">
        <f t="shared" si="181"/>
        <v>1.2122085895327472</v>
      </c>
      <c r="AR298">
        <f t="shared" si="182"/>
        <v>0.79830137607209262</v>
      </c>
      <c r="AS298">
        <f t="shared" si="183"/>
        <v>1.256850538820014</v>
      </c>
      <c r="AT298">
        <f t="shared" si="184"/>
        <v>0.41808990546528391</v>
      </c>
      <c r="AU298">
        <f t="shared" si="185"/>
        <v>0.5201680811205357</v>
      </c>
      <c r="AV298">
        <f t="shared" si="186"/>
        <v>-1.0481471060897762</v>
      </c>
      <c r="AW298">
        <f t="shared" si="187"/>
        <v>-1.2037722658695584</v>
      </c>
      <c r="AX298">
        <f t="shared" si="188"/>
        <v>-1.1159852689972878</v>
      </c>
      <c r="AY298">
        <f t="shared" si="189"/>
        <v>-1.0780151776478666</v>
      </c>
      <c r="AZ298">
        <f t="shared" si="190"/>
        <v>-0.71048955513510437</v>
      </c>
      <c r="BA298">
        <f t="shared" si="191"/>
        <v>-0.56822696178400223</v>
      </c>
      <c r="BB298">
        <f t="shared" si="192"/>
        <v>-0.59979972866475451</v>
      </c>
      <c r="BC298">
        <f t="shared" si="193"/>
        <v>-0.82416297258130256</v>
      </c>
      <c r="BD298" t="str">
        <f t="shared" si="194"/>
        <v>C00492</v>
      </c>
    </row>
    <row r="299" spans="1:56" x14ac:dyDescent="0.2">
      <c r="A299" t="s">
        <v>226</v>
      </c>
      <c r="B299">
        <v>51983200</v>
      </c>
      <c r="C299">
        <v>43814800</v>
      </c>
      <c r="D299">
        <v>63103436</v>
      </c>
      <c r="E299">
        <v>31939404</v>
      </c>
      <c r="F299">
        <v>64868616</v>
      </c>
      <c r="G299">
        <v>47224072</v>
      </c>
      <c r="H299">
        <v>44183840</v>
      </c>
      <c r="I299">
        <v>47750708</v>
      </c>
      <c r="J299">
        <v>47583792</v>
      </c>
      <c r="K299">
        <v>33089028</v>
      </c>
      <c r="L299">
        <v>36221144</v>
      </c>
      <c r="M299">
        <v>49927672</v>
      </c>
      <c r="N299">
        <v>59584160</v>
      </c>
      <c r="O299">
        <v>73447752</v>
      </c>
      <c r="P299">
        <v>66327496</v>
      </c>
      <c r="Q299">
        <v>51273236</v>
      </c>
      <c r="R299" s="2"/>
      <c r="S299" s="4" t="s">
        <v>422</v>
      </c>
      <c r="T299">
        <f t="shared" si="159"/>
        <v>7.7158630104394472</v>
      </c>
      <c r="U299">
        <f t="shared" si="160"/>
        <v>7.6416208336237847</v>
      </c>
      <c r="V299">
        <f t="shared" si="161"/>
        <v>7.8000530073457623</v>
      </c>
      <c r="W299">
        <f t="shared" si="162"/>
        <v>7.50432680779726</v>
      </c>
      <c r="X299">
        <f t="shared" si="163"/>
        <v>7.8120346321683201</v>
      </c>
      <c r="Y299">
        <f t="shared" si="164"/>
        <v>7.6741634323590571</v>
      </c>
      <c r="Z299">
        <f t="shared" si="165"/>
        <v>7.6452634575367568</v>
      </c>
      <c r="AA299">
        <f t="shared" si="166"/>
        <v>7.6789798152540829</v>
      </c>
      <c r="AB299">
        <f t="shared" si="167"/>
        <v>7.677459048442195</v>
      </c>
      <c r="AC299">
        <f t="shared" si="168"/>
        <v>7.5196840098181639</v>
      </c>
      <c r="AD299">
        <f t="shared" si="169"/>
        <v>7.5589621628483128</v>
      </c>
      <c r="AE299">
        <f t="shared" si="170"/>
        <v>7.6983413164832184</v>
      </c>
      <c r="AF299">
        <f t="shared" si="171"/>
        <v>7.7751308211679655</v>
      </c>
      <c r="AG299">
        <f t="shared" si="172"/>
        <v>7.8659785079692188</v>
      </c>
      <c r="AH299">
        <f t="shared" si="173"/>
        <v>7.8216936020939496</v>
      </c>
      <c r="AI299">
        <f t="shared" si="174"/>
        <v>7.7098907278674291</v>
      </c>
      <c r="AJ299">
        <f t="shared" si="175"/>
        <v>0</v>
      </c>
      <c r="AL299">
        <f t="shared" si="176"/>
        <v>7.6937153245759333</v>
      </c>
      <c r="AM299">
        <f t="shared" si="177"/>
        <v>0.10614476680054183</v>
      </c>
      <c r="AN299">
        <f t="shared" si="178"/>
        <v>0.20865546678464081</v>
      </c>
      <c r="AO299">
        <f t="shared" si="179"/>
        <v>-0.49078718171796532</v>
      </c>
      <c r="AP299">
        <f t="shared" si="180"/>
        <v>1.0018174797976589</v>
      </c>
      <c r="AQ299">
        <f t="shared" si="181"/>
        <v>-1.7842473302009887</v>
      </c>
      <c r="AR299">
        <f t="shared" si="182"/>
        <v>1.1146975132059243</v>
      </c>
      <c r="AS299">
        <f t="shared" si="183"/>
        <v>-0.18420024657095435</v>
      </c>
      <c r="AT299">
        <f t="shared" si="184"/>
        <v>-0.45646967344346878</v>
      </c>
      <c r="AU299">
        <f t="shared" si="185"/>
        <v>-0.13882464266505126</v>
      </c>
      <c r="AV299">
        <f t="shared" si="186"/>
        <v>-0.15315193225009172</v>
      </c>
      <c r="AW299">
        <f t="shared" si="187"/>
        <v>-1.6395656611577867</v>
      </c>
      <c r="AX299">
        <f t="shared" si="188"/>
        <v>-1.2695224247921439</v>
      </c>
      <c r="AY299">
        <f t="shared" si="189"/>
        <v>4.3581912200889236E-2</v>
      </c>
      <c r="AZ299">
        <f t="shared" si="190"/>
        <v>0.76702318019145699</v>
      </c>
      <c r="BA299">
        <f t="shared" si="191"/>
        <v>1.6229079264641257</v>
      </c>
      <c r="BB299">
        <f t="shared" si="192"/>
        <v>1.2056955926852437</v>
      </c>
      <c r="BC299">
        <f t="shared" si="193"/>
        <v>0.15239002146842753</v>
      </c>
      <c r="BD299">
        <f t="shared" si="194"/>
        <v>0</v>
      </c>
    </row>
    <row r="300" spans="1:56" x14ac:dyDescent="0.2">
      <c r="A300" t="s">
        <v>227</v>
      </c>
      <c r="B300">
        <v>1186708864</v>
      </c>
      <c r="C300">
        <v>1083717632</v>
      </c>
      <c r="D300">
        <v>966505856</v>
      </c>
      <c r="E300">
        <v>807647040</v>
      </c>
      <c r="F300">
        <v>947742336</v>
      </c>
      <c r="G300">
        <v>776259584</v>
      </c>
      <c r="H300">
        <v>767213248</v>
      </c>
      <c r="I300">
        <v>852806528</v>
      </c>
      <c r="J300">
        <v>333054560</v>
      </c>
      <c r="K300">
        <v>216388688</v>
      </c>
      <c r="L300">
        <v>257931264</v>
      </c>
      <c r="M300">
        <v>358807840</v>
      </c>
      <c r="N300">
        <v>536089280</v>
      </c>
      <c r="O300">
        <v>624848512</v>
      </c>
      <c r="P300">
        <v>626891648</v>
      </c>
      <c r="Q300">
        <v>496848480</v>
      </c>
      <c r="R300" s="2" t="s">
        <v>228</v>
      </c>
      <c r="S300" s="4" t="s">
        <v>422</v>
      </c>
      <c r="T300">
        <f t="shared" si="159"/>
        <v>9.0743441862952281</v>
      </c>
      <c r="U300">
        <f t="shared" si="160"/>
        <v>9.0349161393620374</v>
      </c>
      <c r="V300">
        <f t="shared" si="161"/>
        <v>8.9852044897363061</v>
      </c>
      <c r="W300">
        <f t="shared" si="162"/>
        <v>8.9072216057365416</v>
      </c>
      <c r="X300">
        <f t="shared" si="163"/>
        <v>8.9766902811529512</v>
      </c>
      <c r="Y300">
        <f t="shared" si="164"/>
        <v>8.8900069751847912</v>
      </c>
      <c r="Z300">
        <f t="shared" si="165"/>
        <v>8.8849160934895366</v>
      </c>
      <c r="AA300">
        <f t="shared" si="166"/>
        <v>8.9308505161003282</v>
      </c>
      <c r="AB300">
        <f t="shared" si="167"/>
        <v>8.522515384154957</v>
      </c>
      <c r="AC300">
        <f t="shared" si="168"/>
        <v>8.3352345537192498</v>
      </c>
      <c r="AD300">
        <f t="shared" si="169"/>
        <v>8.411503986417749</v>
      </c>
      <c r="AE300">
        <f t="shared" si="170"/>
        <v>8.5548619238690993</v>
      </c>
      <c r="AF300">
        <f t="shared" si="171"/>
        <v>8.7292371228690406</v>
      </c>
      <c r="AG300">
        <f t="shared" si="172"/>
        <v>8.79577473994099</v>
      </c>
      <c r="AH300">
        <f t="shared" si="173"/>
        <v>8.7971924838257589</v>
      </c>
      <c r="AI300">
        <f t="shared" si="174"/>
        <v>8.6962239655285245</v>
      </c>
      <c r="AJ300" t="str">
        <f t="shared" si="175"/>
        <v>C00025</v>
      </c>
      <c r="AL300">
        <f t="shared" si="176"/>
        <v>8.7829184029614424</v>
      </c>
      <c r="AM300">
        <f t="shared" si="177"/>
        <v>0.22436003256115206</v>
      </c>
      <c r="AN300">
        <f t="shared" si="178"/>
        <v>1.2989202221405187</v>
      </c>
      <c r="AO300">
        <f t="shared" si="179"/>
        <v>1.1231846132483954</v>
      </c>
      <c r="AP300">
        <f t="shared" si="180"/>
        <v>0.90161373425424229</v>
      </c>
      <c r="AQ300">
        <f t="shared" si="181"/>
        <v>0.5540345192329158</v>
      </c>
      <c r="AR300">
        <f t="shared" si="182"/>
        <v>0.8636648692707507</v>
      </c>
      <c r="AS300">
        <f t="shared" si="183"/>
        <v>0.47730681352152365</v>
      </c>
      <c r="AT300">
        <f t="shared" si="184"/>
        <v>0.45461613355887459</v>
      </c>
      <c r="AU300">
        <f t="shared" si="185"/>
        <v>0.65935145154948693</v>
      </c>
      <c r="AV300">
        <f t="shared" si="186"/>
        <v>-1.1606479809879213</v>
      </c>
      <c r="AW300">
        <f t="shared" si="187"/>
        <v>-1.995381459575118</v>
      </c>
      <c r="AX300">
        <f t="shared" si="188"/>
        <v>-1.6554393057616441</v>
      </c>
      <c r="AY300">
        <f t="shared" si="189"/>
        <v>-1.016475512545594</v>
      </c>
      <c r="AZ300">
        <f t="shared" si="190"/>
        <v>-0.23926400562350747</v>
      </c>
      <c r="BA300">
        <f t="shared" si="191"/>
        <v>5.7302260267962063E-2</v>
      </c>
      <c r="BB300">
        <f t="shared" si="192"/>
        <v>6.3621317493016055E-2</v>
      </c>
      <c r="BC300">
        <f t="shared" si="193"/>
        <v>-0.38640767004385379</v>
      </c>
      <c r="BD300" t="str">
        <f t="shared" si="194"/>
        <v>C00025</v>
      </c>
    </row>
    <row r="301" spans="1:56" x14ac:dyDescent="0.2">
      <c r="A301" t="s">
        <v>229</v>
      </c>
      <c r="B301">
        <v>118620344</v>
      </c>
      <c r="C301">
        <v>107800000</v>
      </c>
      <c r="D301">
        <v>90304176</v>
      </c>
      <c r="E301">
        <v>51699752</v>
      </c>
      <c r="F301">
        <v>54714136</v>
      </c>
      <c r="G301">
        <v>35222976</v>
      </c>
      <c r="H301">
        <v>40873928</v>
      </c>
      <c r="I301">
        <v>41614572</v>
      </c>
      <c r="J301">
        <v>16420999</v>
      </c>
      <c r="K301">
        <v>8297356.5</v>
      </c>
      <c r="L301">
        <v>9154033</v>
      </c>
      <c r="M301">
        <v>15965228</v>
      </c>
      <c r="N301">
        <v>20479378</v>
      </c>
      <c r="O301">
        <v>27775206</v>
      </c>
      <c r="P301">
        <v>26862300</v>
      </c>
      <c r="Q301">
        <v>15713359</v>
      </c>
      <c r="R301" s="2"/>
      <c r="S301" s="4" t="s">
        <v>422</v>
      </c>
      <c r="T301">
        <f t="shared" si="159"/>
        <v>8.0741591791568101</v>
      </c>
      <c r="U301">
        <f t="shared" si="160"/>
        <v>8.0326187608507205</v>
      </c>
      <c r="V301">
        <f t="shared" si="161"/>
        <v>7.9557078341653513</v>
      </c>
      <c r="W301">
        <f t="shared" si="162"/>
        <v>7.7134884598194775</v>
      </c>
      <c r="X301">
        <f t="shared" si="163"/>
        <v>7.7380995455960377</v>
      </c>
      <c r="Y301">
        <f t="shared" si="164"/>
        <v>7.5468260468548927</v>
      </c>
      <c r="Z301">
        <f t="shared" si="165"/>
        <v>7.6114463755817443</v>
      </c>
      <c r="AA301">
        <f t="shared" si="166"/>
        <v>7.6192454323344814</v>
      </c>
      <c r="AB301">
        <f t="shared" si="167"/>
        <v>7.2153995746463835</v>
      </c>
      <c r="AC301">
        <f t="shared" si="168"/>
        <v>6.9189397501680698</v>
      </c>
      <c r="AD301">
        <f t="shared" si="169"/>
        <v>6.9616124737120009</v>
      </c>
      <c r="AE301">
        <f t="shared" si="170"/>
        <v>7.2031751250949956</v>
      </c>
      <c r="AF301">
        <f t="shared" si="171"/>
        <v>7.3113167621050668</v>
      </c>
      <c r="AG301">
        <f t="shared" si="172"/>
        <v>7.4436572886509431</v>
      </c>
      <c r="AH301">
        <f t="shared" si="173"/>
        <v>7.429143195024591</v>
      </c>
      <c r="AI301">
        <f t="shared" si="174"/>
        <v>7.1962690328587104</v>
      </c>
      <c r="AJ301">
        <f t="shared" si="175"/>
        <v>0</v>
      </c>
      <c r="AL301">
        <f t="shared" si="176"/>
        <v>7.498194052288766</v>
      </c>
      <c r="AM301">
        <f t="shared" si="177"/>
        <v>0.35446708548368666</v>
      </c>
      <c r="AN301">
        <f t="shared" si="178"/>
        <v>1.6248761886653402</v>
      </c>
      <c r="AO301">
        <f t="shared" si="179"/>
        <v>1.5076850022131316</v>
      </c>
      <c r="AP301">
        <f t="shared" si="180"/>
        <v>1.2907087868321729</v>
      </c>
      <c r="AQ301">
        <f t="shared" si="181"/>
        <v>0.60737489134409295</v>
      </c>
      <c r="AR301">
        <f t="shared" si="182"/>
        <v>0.67680612144822883</v>
      </c>
      <c r="AS301">
        <f t="shared" si="183"/>
        <v>0.13719749042359197</v>
      </c>
      <c r="AT301">
        <f t="shared" si="184"/>
        <v>0.31950025243793873</v>
      </c>
      <c r="AU301">
        <f t="shared" si="185"/>
        <v>0.34150245538463797</v>
      </c>
      <c r="AV301">
        <f t="shared" si="186"/>
        <v>-0.79780179662237594</v>
      </c>
      <c r="AW301">
        <f t="shared" si="187"/>
        <v>-1.6341554007201458</v>
      </c>
      <c r="AX301">
        <f t="shared" si="188"/>
        <v>-1.5137698267374384</v>
      </c>
      <c r="AY301">
        <f t="shared" si="189"/>
        <v>-0.83228863630935868</v>
      </c>
      <c r="AZ301">
        <f t="shared" si="190"/>
        <v>-0.52720632700973236</v>
      </c>
      <c r="BA301">
        <f t="shared" si="191"/>
        <v>-0.15385564942766117</v>
      </c>
      <c r="BB301">
        <f t="shared" si="192"/>
        <v>-0.19480188737397708</v>
      </c>
      <c r="BC301">
        <f t="shared" si="193"/>
        <v>-0.85177166454838815</v>
      </c>
      <c r="BD301">
        <f t="shared" si="194"/>
        <v>0</v>
      </c>
    </row>
    <row r="302" spans="1:56" x14ac:dyDescent="0.2">
      <c r="A302" t="s">
        <v>232</v>
      </c>
      <c r="B302">
        <v>308010752</v>
      </c>
      <c r="C302">
        <v>201377968</v>
      </c>
      <c r="D302">
        <v>251603664</v>
      </c>
      <c r="E302">
        <v>112434024</v>
      </c>
      <c r="F302">
        <v>167580112</v>
      </c>
      <c r="G302">
        <v>103516392</v>
      </c>
      <c r="H302">
        <v>83999608</v>
      </c>
      <c r="I302">
        <v>85354272</v>
      </c>
      <c r="J302">
        <v>50405280</v>
      </c>
      <c r="K302">
        <v>26434474</v>
      </c>
      <c r="L302">
        <v>32892476</v>
      </c>
      <c r="M302">
        <v>55231696</v>
      </c>
      <c r="N302">
        <v>40948264</v>
      </c>
      <c r="O302">
        <v>63697432</v>
      </c>
      <c r="P302">
        <v>36673476</v>
      </c>
      <c r="Q302">
        <v>36440676</v>
      </c>
      <c r="R302" s="2" t="s">
        <v>233</v>
      </c>
      <c r="S302" s="4" t="s">
        <v>422</v>
      </c>
      <c r="T302">
        <f t="shared" si="159"/>
        <v>8.4885658770613759</v>
      </c>
      <c r="U302">
        <f t="shared" si="160"/>
        <v>8.3040119543038653</v>
      </c>
      <c r="V302">
        <f t="shared" si="161"/>
        <v>8.4007169612700334</v>
      </c>
      <c r="W302">
        <f t="shared" si="162"/>
        <v>8.0508977542886981</v>
      </c>
      <c r="X302">
        <f t="shared" si="163"/>
        <v>8.224222476339845</v>
      </c>
      <c r="Y302">
        <f t="shared" si="164"/>
        <v>8.0150091265220968</v>
      </c>
      <c r="Z302">
        <f t="shared" si="165"/>
        <v>7.9242772593495703</v>
      </c>
      <c r="AA302">
        <f t="shared" si="166"/>
        <v>7.9312252625286277</v>
      </c>
      <c r="AB302">
        <f t="shared" si="167"/>
        <v>7.7024760315796401</v>
      </c>
      <c r="AC302">
        <f t="shared" si="168"/>
        <v>7.4221706731231905</v>
      </c>
      <c r="AD302">
        <f t="shared" si="169"/>
        <v>7.5170965664794247</v>
      </c>
      <c r="AE302">
        <f t="shared" si="170"/>
        <v>7.7421883793115347</v>
      </c>
      <c r="AF302">
        <f t="shared" si="171"/>
        <v>7.612235494589676</v>
      </c>
      <c r="AG302">
        <f t="shared" si="172"/>
        <v>7.8041219238469584</v>
      </c>
      <c r="AH302">
        <f t="shared" si="173"/>
        <v>7.5643520753839653</v>
      </c>
      <c r="AI302">
        <f t="shared" si="174"/>
        <v>7.5615864248417584</v>
      </c>
      <c r="AJ302" t="str">
        <f t="shared" si="175"/>
        <v>C00051</v>
      </c>
      <c r="AL302">
        <f t="shared" si="176"/>
        <v>7.8915721400512675</v>
      </c>
      <c r="AM302">
        <f t="shared" si="177"/>
        <v>0.33265986000634645</v>
      </c>
      <c r="AN302">
        <f t="shared" si="178"/>
        <v>1.7946070710145763</v>
      </c>
      <c r="AO302">
        <f t="shared" si="179"/>
        <v>1.2398244087661472</v>
      </c>
      <c r="AP302">
        <f t="shared" si="180"/>
        <v>1.5305267705248613</v>
      </c>
      <c r="AQ302">
        <f t="shared" si="181"/>
        <v>0.47894451177365083</v>
      </c>
      <c r="AR302">
        <f t="shared" si="182"/>
        <v>0.99997137100409794</v>
      </c>
      <c r="AS302">
        <f t="shared" si="183"/>
        <v>0.37106065777961439</v>
      </c>
      <c r="AT302">
        <f t="shared" si="184"/>
        <v>9.8313993451686149E-2</v>
      </c>
      <c r="AU302">
        <f t="shared" si="185"/>
        <v>0.11920020190173738</v>
      </c>
      <c r="AV302">
        <f t="shared" si="186"/>
        <v>-0.56843680649664141</v>
      </c>
      <c r="AW302">
        <f t="shared" si="187"/>
        <v>-1.41105532515742</v>
      </c>
      <c r="AX302">
        <f t="shared" si="188"/>
        <v>-1.125701109730217</v>
      </c>
      <c r="AY302">
        <f t="shared" si="189"/>
        <v>-0.4490585691248799</v>
      </c>
      <c r="AZ302">
        <f t="shared" si="190"/>
        <v>-0.83970649616777449</v>
      </c>
      <c r="BA302">
        <f t="shared" si="191"/>
        <v>-0.26288178021430292</v>
      </c>
      <c r="BB302">
        <f t="shared" si="192"/>
        <v>-0.98364757521709889</v>
      </c>
      <c r="BC302">
        <f t="shared" si="193"/>
        <v>-0.99196132410809557</v>
      </c>
      <c r="BD302" t="str">
        <f t="shared" si="194"/>
        <v>C00051</v>
      </c>
    </row>
    <row r="303" spans="1:56" x14ac:dyDescent="0.2">
      <c r="A303" t="s">
        <v>230</v>
      </c>
      <c r="B303">
        <v>43836.621090000001</v>
      </c>
      <c r="C303">
        <v>46608.621090000001</v>
      </c>
      <c r="D303">
        <v>63174.347659999999</v>
      </c>
      <c r="E303">
        <v>32365.449219999999</v>
      </c>
      <c r="F303">
        <v>208957.125</v>
      </c>
      <c r="G303">
        <v>62003.722659999999</v>
      </c>
      <c r="H303">
        <v>110061.47659999999</v>
      </c>
      <c r="I303">
        <v>72840.445309999996</v>
      </c>
      <c r="J303">
        <v>154663.89060000001</v>
      </c>
      <c r="K303">
        <v>276547.3125</v>
      </c>
      <c r="L303">
        <v>318943.5625</v>
      </c>
      <c r="M303">
        <v>410008.71879999997</v>
      </c>
      <c r="N303">
        <v>159789.7188</v>
      </c>
      <c r="O303">
        <v>468758.1875</v>
      </c>
      <c r="P303">
        <v>266450.71879999997</v>
      </c>
      <c r="Q303">
        <v>231300.45310000001</v>
      </c>
      <c r="R303" s="2" t="s">
        <v>231</v>
      </c>
      <c r="S303" s="4" t="s">
        <v>422</v>
      </c>
      <c r="T303">
        <f t="shared" si="159"/>
        <v>4.6418370715136916</v>
      </c>
      <c r="U303">
        <f t="shared" si="160"/>
        <v>4.6684662545768152</v>
      </c>
      <c r="V303">
        <f t="shared" si="161"/>
        <v>4.8005407660786945</v>
      </c>
      <c r="W303">
        <f t="shared" si="162"/>
        <v>4.5100816392363292</v>
      </c>
      <c r="X303">
        <f t="shared" si="163"/>
        <v>5.3200571842636961</v>
      </c>
      <c r="Y303">
        <f t="shared" si="164"/>
        <v>4.7924177650169852</v>
      </c>
      <c r="Z303">
        <f t="shared" si="165"/>
        <v>5.0416353350690883</v>
      </c>
      <c r="AA303">
        <f t="shared" si="166"/>
        <v>4.8623725921899412</v>
      </c>
      <c r="AB303">
        <f t="shared" si="167"/>
        <v>5.1893889307408996</v>
      </c>
      <c r="AC303">
        <f t="shared" si="168"/>
        <v>5.44176944233116</v>
      </c>
      <c r="AD303">
        <f t="shared" si="169"/>
        <v>5.5037138408525497</v>
      </c>
      <c r="AE303">
        <f t="shared" si="170"/>
        <v>5.612793092052585</v>
      </c>
      <c r="AF303">
        <f t="shared" si="171"/>
        <v>5.2035488324744046</v>
      </c>
      <c r="AG303">
        <f t="shared" si="172"/>
        <v>5.6709488663464782</v>
      </c>
      <c r="AH303">
        <f t="shared" si="173"/>
        <v>5.4256168961680453</v>
      </c>
      <c r="AI303">
        <f t="shared" si="174"/>
        <v>5.3641764835213195</v>
      </c>
      <c r="AJ303" t="str">
        <f t="shared" si="175"/>
        <v>C05822</v>
      </c>
      <c r="AL303">
        <f t="shared" si="176"/>
        <v>5.1280853120270429</v>
      </c>
      <c r="AM303">
        <f t="shared" si="177"/>
        <v>0.37303777339430794</v>
      </c>
      <c r="AN303">
        <f t="shared" si="178"/>
        <v>-1.303482583248688</v>
      </c>
      <c r="AO303">
        <f t="shared" si="179"/>
        <v>-1.2320979006176989</v>
      </c>
      <c r="AP303">
        <f t="shared" si="180"/>
        <v>-0.87804659289054787</v>
      </c>
      <c r="AQ303">
        <f t="shared" si="181"/>
        <v>-1.656678537316574</v>
      </c>
      <c r="AR303">
        <f t="shared" si="182"/>
        <v>0.51461778385036461</v>
      </c>
      <c r="AS303">
        <f t="shared" si="183"/>
        <v>-0.89982187046578455</v>
      </c>
      <c r="AT303">
        <f t="shared" si="184"/>
        <v>-0.23174590651058621</v>
      </c>
      <c r="AU303">
        <f t="shared" si="185"/>
        <v>-0.71229440766642771</v>
      </c>
      <c r="AV303">
        <f t="shared" si="186"/>
        <v>0.16433622299438727</v>
      </c>
      <c r="AW303">
        <f t="shared" si="187"/>
        <v>0.84089106432808103</v>
      </c>
      <c r="AX303">
        <f t="shared" si="188"/>
        <v>1.0069450217001494</v>
      </c>
      <c r="AY303">
        <f t="shared" si="189"/>
        <v>1.2993530805610856</v>
      </c>
      <c r="AZ303">
        <f t="shared" si="190"/>
        <v>0.20229458202238235</v>
      </c>
      <c r="BA303">
        <f t="shared" si="191"/>
        <v>1.4552508969262434</v>
      </c>
      <c r="BB303">
        <f t="shared" si="192"/>
        <v>0.79759103597936709</v>
      </c>
      <c r="BC303">
        <f t="shared" si="193"/>
        <v>0.63288811035423964</v>
      </c>
      <c r="BD303" t="str">
        <f t="shared" si="194"/>
        <v>C05822</v>
      </c>
    </row>
    <row r="304" spans="1:56" x14ac:dyDescent="0.2">
      <c r="A304" t="s">
        <v>335</v>
      </c>
      <c r="B304">
        <v>8332915</v>
      </c>
      <c r="C304">
        <v>5151514</v>
      </c>
      <c r="D304">
        <v>3383889.25</v>
      </c>
      <c r="E304">
        <v>4876902</v>
      </c>
      <c r="F304">
        <v>11109344</v>
      </c>
      <c r="G304">
        <v>4348830</v>
      </c>
      <c r="H304">
        <v>6261123.5</v>
      </c>
      <c r="I304">
        <v>3899952</v>
      </c>
      <c r="J304">
        <v>4840587</v>
      </c>
      <c r="K304">
        <v>3360536.75</v>
      </c>
      <c r="L304">
        <v>3764044</v>
      </c>
      <c r="M304">
        <v>6579894.5</v>
      </c>
      <c r="N304">
        <v>4224637</v>
      </c>
      <c r="O304">
        <v>8714608</v>
      </c>
      <c r="P304">
        <v>5480907</v>
      </c>
      <c r="Q304">
        <v>3797002.25</v>
      </c>
      <c r="R304" s="2" t="s">
        <v>336</v>
      </c>
      <c r="S304" s="4" t="s">
        <v>422</v>
      </c>
      <c r="T304">
        <f t="shared" si="159"/>
        <v>6.9207969518221457</v>
      </c>
      <c r="U304">
        <f t="shared" si="160"/>
        <v>6.711934884422786</v>
      </c>
      <c r="V304">
        <f t="shared" si="161"/>
        <v>6.5294161407437725</v>
      </c>
      <c r="W304">
        <f t="shared" si="162"/>
        <v>6.68814402865147</v>
      </c>
      <c r="X304">
        <f t="shared" si="163"/>
        <v>7.0456884148732293</v>
      </c>
      <c r="Y304">
        <f t="shared" si="164"/>
        <v>6.6383724310028969</v>
      </c>
      <c r="Z304">
        <f t="shared" si="165"/>
        <v>6.796652270282407</v>
      </c>
      <c r="AA304">
        <f t="shared" si="166"/>
        <v>6.5910592618307513</v>
      </c>
      <c r="AB304">
        <f t="shared" si="167"/>
        <v>6.6848980301161056</v>
      </c>
      <c r="AC304">
        <f t="shared" si="168"/>
        <v>6.5264086490999702</v>
      </c>
      <c r="AD304">
        <f t="shared" si="169"/>
        <v>6.575654691494198</v>
      </c>
      <c r="AE304">
        <f t="shared" si="170"/>
        <v>6.818218930325938</v>
      </c>
      <c r="AF304">
        <f t="shared" si="171"/>
        <v>6.6257893983343052</v>
      </c>
      <c r="AG304">
        <f t="shared" si="172"/>
        <v>6.9402478564757555</v>
      </c>
      <c r="AH304">
        <f t="shared" si="173"/>
        <v>6.7388524330283257</v>
      </c>
      <c r="AI304">
        <f t="shared" si="174"/>
        <v>6.5794408544909411</v>
      </c>
      <c r="AJ304" t="str">
        <f t="shared" si="175"/>
        <v>C00455</v>
      </c>
      <c r="AL304">
        <f t="shared" si="176"/>
        <v>6.7132234516871883</v>
      </c>
      <c r="AM304">
        <f t="shared" si="177"/>
        <v>0.15468534595971453</v>
      </c>
      <c r="AN304">
        <f t="shared" si="178"/>
        <v>1.3419079800165223</v>
      </c>
      <c r="AO304">
        <f t="shared" si="179"/>
        <v>-8.3302478098855205E-3</v>
      </c>
      <c r="AP304">
        <f t="shared" si="180"/>
        <v>-1.1882658295976245</v>
      </c>
      <c r="AQ304">
        <f t="shared" si="181"/>
        <v>-0.162131861167055</v>
      </c>
      <c r="AR304">
        <f t="shared" si="182"/>
        <v>2.1492983780934654</v>
      </c>
      <c r="AS304">
        <f t="shared" si="183"/>
        <v>-0.48389212449242097</v>
      </c>
      <c r="AT304">
        <f t="shared" si="184"/>
        <v>0.53934532762364285</v>
      </c>
      <c r="AU304">
        <f t="shared" si="185"/>
        <v>-0.78975929554602264</v>
      </c>
      <c r="AV304">
        <f t="shared" si="186"/>
        <v>-0.18311638633474417</v>
      </c>
      <c r="AW304">
        <f t="shared" si="187"/>
        <v>-1.2077084705610779</v>
      </c>
      <c r="AX304">
        <f t="shared" si="188"/>
        <v>-0.88934578346431059</v>
      </c>
      <c r="AY304">
        <f t="shared" si="189"/>
        <v>0.67876810170560165</v>
      </c>
      <c r="AZ304">
        <f t="shared" si="190"/>
        <v>-0.56523811489973907</v>
      </c>
      <c r="BA304">
        <f t="shared" si="191"/>
        <v>1.4676529530321012</v>
      </c>
      <c r="BB304">
        <f t="shared" si="192"/>
        <v>0.16568461079572547</v>
      </c>
      <c r="BC304">
        <f t="shared" si="193"/>
        <v>-0.86486923739427035</v>
      </c>
      <c r="BD304" t="str">
        <f t="shared" si="194"/>
        <v>C00455</v>
      </c>
    </row>
    <row r="305" spans="1:56" x14ac:dyDescent="0.2">
      <c r="A305" t="s">
        <v>235</v>
      </c>
      <c r="B305">
        <v>28459624</v>
      </c>
      <c r="C305">
        <v>21447922</v>
      </c>
      <c r="D305">
        <v>40888376</v>
      </c>
      <c r="E305">
        <v>18383316</v>
      </c>
      <c r="F305">
        <v>22127032</v>
      </c>
      <c r="G305">
        <v>18066302</v>
      </c>
      <c r="H305">
        <v>21634058</v>
      </c>
      <c r="I305">
        <v>24282938</v>
      </c>
      <c r="J305">
        <v>31479750</v>
      </c>
      <c r="K305">
        <v>26623526</v>
      </c>
      <c r="L305">
        <v>26505960</v>
      </c>
      <c r="M305">
        <v>33348264</v>
      </c>
      <c r="N305">
        <v>20376880</v>
      </c>
      <c r="O305">
        <v>24738590</v>
      </c>
      <c r="P305">
        <v>18525114</v>
      </c>
      <c r="Q305">
        <v>20693820</v>
      </c>
      <c r="R305" s="2" t="s">
        <v>236</v>
      </c>
      <c r="S305" s="4" t="s">
        <v>422</v>
      </c>
      <c r="T305">
        <f t="shared" si="159"/>
        <v>7.4542291580179816</v>
      </c>
      <c r="U305">
        <f t="shared" si="160"/>
        <v>7.3313852215720265</v>
      </c>
      <c r="V305">
        <f t="shared" si="161"/>
        <v>7.611599861636634</v>
      </c>
      <c r="W305">
        <f t="shared" si="162"/>
        <v>7.2644238525674503</v>
      </c>
      <c r="X305">
        <f t="shared" si="163"/>
        <v>7.3449231639287396</v>
      </c>
      <c r="Y305">
        <f t="shared" si="164"/>
        <v>7.2568692657124831</v>
      </c>
      <c r="Z305">
        <f t="shared" si="165"/>
        <v>7.3351379896984339</v>
      </c>
      <c r="AA305">
        <f t="shared" si="166"/>
        <v>7.3853012310027051</v>
      </c>
      <c r="AB305">
        <f t="shared" si="167"/>
        <v>7.4980312747019067</v>
      </c>
      <c r="AC305">
        <f t="shared" si="168"/>
        <v>7.4252655725862562</v>
      </c>
      <c r="AD305">
        <f t="shared" si="169"/>
        <v>7.4233435382418422</v>
      </c>
      <c r="AE305">
        <f t="shared" si="170"/>
        <v>7.5230732309109207</v>
      </c>
      <c r="AF305">
        <f t="shared" si="171"/>
        <v>7.3091376878885939</v>
      </c>
      <c r="AG305">
        <f t="shared" si="172"/>
        <v>7.3933749429620574</v>
      </c>
      <c r="AH305">
        <f t="shared" si="173"/>
        <v>7.2677608892245695</v>
      </c>
      <c r="AI305">
        <f t="shared" si="174"/>
        <v>7.3158406671659018</v>
      </c>
      <c r="AJ305" t="str">
        <f t="shared" si="175"/>
        <v>C00049</v>
      </c>
      <c r="AL305">
        <f t="shared" si="176"/>
        <v>7.3837310967386562</v>
      </c>
      <c r="AM305">
        <f t="shared" si="177"/>
        <v>0.10110146524782596</v>
      </c>
      <c r="AN305">
        <f t="shared" si="178"/>
        <v>0.69730009457841469</v>
      </c>
      <c r="AO305">
        <f t="shared" si="179"/>
        <v>-0.51775585090004739</v>
      </c>
      <c r="AP305">
        <f t="shared" si="180"/>
        <v>2.2538621407653419</v>
      </c>
      <c r="AQ305">
        <f t="shared" si="181"/>
        <v>-1.1800743330351635</v>
      </c>
      <c r="AR305">
        <f t="shared" si="182"/>
        <v>-0.3838513389968024</v>
      </c>
      <c r="AS305">
        <f t="shared" si="183"/>
        <v>-1.2547971556614119</v>
      </c>
      <c r="AT305">
        <f t="shared" si="184"/>
        <v>-0.4806370206515605</v>
      </c>
      <c r="AU305">
        <f t="shared" si="185"/>
        <v>1.5530281981571999E-2</v>
      </c>
      <c r="AV305">
        <f t="shared" si="186"/>
        <v>1.1305491733781603</v>
      </c>
      <c r="AW305">
        <f t="shared" si="187"/>
        <v>0.41081972200687855</v>
      </c>
      <c r="AX305">
        <f t="shared" si="188"/>
        <v>0.39180877750965931</v>
      </c>
      <c r="AY305">
        <f t="shared" si="189"/>
        <v>1.3782405015664285</v>
      </c>
      <c r="AZ305">
        <f t="shared" si="190"/>
        <v>-0.73780739643302462</v>
      </c>
      <c r="BA305">
        <f t="shared" si="191"/>
        <v>9.5387798779786481E-2</v>
      </c>
      <c r="BB305">
        <f t="shared" si="192"/>
        <v>-1.1470675249840703</v>
      </c>
      <c r="BC305">
        <f t="shared" si="193"/>
        <v>-0.67150786990413447</v>
      </c>
      <c r="BD305" t="str">
        <f t="shared" si="194"/>
        <v>C00049</v>
      </c>
    </row>
    <row r="306" spans="1:56" x14ac:dyDescent="0.2">
      <c r="A306" t="s">
        <v>234</v>
      </c>
      <c r="B306">
        <v>6565602.5</v>
      </c>
      <c r="C306">
        <v>3271394.25</v>
      </c>
      <c r="D306">
        <v>6241707.5</v>
      </c>
      <c r="E306">
        <v>4080325</v>
      </c>
      <c r="F306">
        <v>5790476</v>
      </c>
      <c r="G306">
        <v>3667323.25</v>
      </c>
      <c r="H306">
        <v>4421666.5</v>
      </c>
      <c r="I306">
        <v>5396771</v>
      </c>
      <c r="J306">
        <v>1711652.75</v>
      </c>
      <c r="K306">
        <v>779934.5</v>
      </c>
      <c r="L306">
        <v>724509.5</v>
      </c>
      <c r="M306">
        <v>1495710.625</v>
      </c>
      <c r="N306">
        <v>1422942.25</v>
      </c>
      <c r="O306">
        <v>2490995.75</v>
      </c>
      <c r="P306">
        <v>1496394</v>
      </c>
      <c r="Q306">
        <v>907998.25</v>
      </c>
      <c r="R306" s="2"/>
      <c r="S306" s="4" t="s">
        <v>422</v>
      </c>
      <c r="T306">
        <f t="shared" si="159"/>
        <v>6.8172745857825587</v>
      </c>
      <c r="U306">
        <f t="shared" si="160"/>
        <v>6.5147328860026352</v>
      </c>
      <c r="V306">
        <f t="shared" si="161"/>
        <v>6.7953034128214016</v>
      </c>
      <c r="W306">
        <f t="shared" si="162"/>
        <v>6.6106947562480434</v>
      </c>
      <c r="X306">
        <f t="shared" si="163"/>
        <v>6.7627142659167943</v>
      </c>
      <c r="Y306">
        <f t="shared" si="164"/>
        <v>6.5643491917997254</v>
      </c>
      <c r="Z306">
        <f t="shared" si="165"/>
        <v>6.6455859832287461</v>
      </c>
      <c r="AA306">
        <f t="shared" si="166"/>
        <v>6.7321339901337023</v>
      </c>
      <c r="AB306">
        <f t="shared" si="167"/>
        <v>6.2334156621779329</v>
      </c>
      <c r="AC306">
        <f t="shared" si="168"/>
        <v>5.8920581315584153</v>
      </c>
      <c r="AD306">
        <f t="shared" si="169"/>
        <v>5.8600440844525057</v>
      </c>
      <c r="AE306">
        <f t="shared" si="170"/>
        <v>6.1748475787410211</v>
      </c>
      <c r="AF306">
        <f t="shared" si="171"/>
        <v>6.1531872746343419</v>
      </c>
      <c r="AG306">
        <f t="shared" si="172"/>
        <v>6.3963729865677701</v>
      </c>
      <c r="AH306">
        <f t="shared" si="173"/>
        <v>6.1750459581654917</v>
      </c>
      <c r="AI306">
        <f t="shared" si="174"/>
        <v>5.9580850114989756</v>
      </c>
      <c r="AJ306">
        <f t="shared" si="175"/>
        <v>0</v>
      </c>
      <c r="AL306">
        <f t="shared" si="176"/>
        <v>6.3928653599831309</v>
      </c>
      <c r="AM306">
        <f t="shared" si="177"/>
        <v>0.33177765986166619</v>
      </c>
      <c r="AN306">
        <f t="shared" si="178"/>
        <v>1.279197719268935</v>
      </c>
      <c r="AO306">
        <f t="shared" si="179"/>
        <v>0.36731685331169278</v>
      </c>
      <c r="AP306">
        <f t="shared" si="180"/>
        <v>1.2129751382479044</v>
      </c>
      <c r="AQ306">
        <f t="shared" si="181"/>
        <v>0.65655233193137796</v>
      </c>
      <c r="AR306">
        <f t="shared" si="182"/>
        <v>1.1147492754270161</v>
      </c>
      <c r="AS306">
        <f t="shared" si="183"/>
        <v>0.51686370893113864</v>
      </c>
      <c r="AT306">
        <f t="shared" si="184"/>
        <v>0.76171681767538646</v>
      </c>
      <c r="AU306">
        <f t="shared" si="185"/>
        <v>1.0225782841799191</v>
      </c>
      <c r="AV306">
        <f t="shared" si="186"/>
        <v>-0.48059202621321806</v>
      </c>
      <c r="AW306">
        <f t="shared" si="187"/>
        <v>-1.5094663957589123</v>
      </c>
      <c r="AX306">
        <f t="shared" si="188"/>
        <v>-1.6059588694211167</v>
      </c>
      <c r="AY306">
        <f t="shared" si="189"/>
        <v>-0.65712013681997672</v>
      </c>
      <c r="AZ306">
        <f t="shared" si="190"/>
        <v>-0.72240573837527855</v>
      </c>
      <c r="BA306">
        <f t="shared" si="191"/>
        <v>1.0572220522930047E-2</v>
      </c>
      <c r="BB306">
        <f t="shared" si="192"/>
        <v>-0.65652220800055783</v>
      </c>
      <c r="BC306">
        <f t="shared" si="193"/>
        <v>-1.3104569749073394</v>
      </c>
      <c r="BD306">
        <f t="shared" si="194"/>
        <v>0</v>
      </c>
    </row>
    <row r="307" spans="1:56" x14ac:dyDescent="0.2">
      <c r="A307" t="s">
        <v>238</v>
      </c>
      <c r="B307">
        <v>563486.1875</v>
      </c>
      <c r="C307">
        <v>366718.40620000003</v>
      </c>
      <c r="D307">
        <v>440802.21879999997</v>
      </c>
      <c r="E307">
        <v>536144.375</v>
      </c>
      <c r="F307">
        <v>1202901.5</v>
      </c>
      <c r="G307">
        <v>747690.0625</v>
      </c>
      <c r="H307">
        <v>765736.0625</v>
      </c>
      <c r="I307">
        <v>719284.5625</v>
      </c>
      <c r="J307">
        <v>1815287.25</v>
      </c>
      <c r="K307">
        <v>1364515.625</v>
      </c>
      <c r="L307">
        <v>1288641</v>
      </c>
      <c r="M307">
        <v>1880641.25</v>
      </c>
      <c r="N307">
        <v>614389.25</v>
      </c>
      <c r="O307">
        <v>1400375.25</v>
      </c>
      <c r="P307">
        <v>748021.125</v>
      </c>
      <c r="Q307">
        <v>779293.6875</v>
      </c>
      <c r="R307" s="2" t="s">
        <v>398</v>
      </c>
      <c r="S307" s="4" t="s">
        <v>422</v>
      </c>
      <c r="T307">
        <f t="shared" si="159"/>
        <v>5.7508832748345613</v>
      </c>
      <c r="U307">
        <f t="shared" si="160"/>
        <v>5.5643327084620502</v>
      </c>
      <c r="V307">
        <f t="shared" si="161"/>
        <v>5.6442437718922118</v>
      </c>
      <c r="W307">
        <f t="shared" si="162"/>
        <v>5.7292817539145036</v>
      </c>
      <c r="X307">
        <f t="shared" si="163"/>
        <v>6.0802300664438631</v>
      </c>
      <c r="Y307">
        <f t="shared" si="164"/>
        <v>5.8737216085053205</v>
      </c>
      <c r="Z307">
        <f t="shared" si="165"/>
        <v>5.8840791007650255</v>
      </c>
      <c r="AA307">
        <f t="shared" si="166"/>
        <v>5.8569007394429935</v>
      </c>
      <c r="AB307">
        <f t="shared" si="167"/>
        <v>6.2589453573165592</v>
      </c>
      <c r="AC307">
        <f t="shared" si="168"/>
        <v>6.1349785131187238</v>
      </c>
      <c r="AD307">
        <f t="shared" si="169"/>
        <v>6.110131944944901</v>
      </c>
      <c r="AE307">
        <f t="shared" si="170"/>
        <v>6.27430595769557</v>
      </c>
      <c r="AF307">
        <f t="shared" si="171"/>
        <v>5.7884436082172641</v>
      </c>
      <c r="AG307">
        <f t="shared" si="172"/>
        <v>6.1462444265121521</v>
      </c>
      <c r="AH307">
        <f t="shared" si="173"/>
        <v>5.8739138630267345</v>
      </c>
      <c r="AI307">
        <f t="shared" si="174"/>
        <v>5.8917011583448922</v>
      </c>
      <c r="AJ307" t="str">
        <f t="shared" si="175"/>
        <v>C00144</v>
      </c>
      <c r="AL307">
        <f t="shared" si="176"/>
        <v>5.9288961158398328</v>
      </c>
      <c r="AM307">
        <f t="shared" si="177"/>
        <v>0.21502504331635142</v>
      </c>
      <c r="AN307">
        <f t="shared" si="178"/>
        <v>-0.82787027157284909</v>
      </c>
      <c r="AO307">
        <f t="shared" si="179"/>
        <v>-1.6954462687465932</v>
      </c>
      <c r="AP307">
        <f t="shared" si="180"/>
        <v>-1.3238101923264431</v>
      </c>
      <c r="AQ307">
        <f t="shared" si="181"/>
        <v>-0.92833076020661687</v>
      </c>
      <c r="AR307">
        <f t="shared" si="182"/>
        <v>0.70379686137945885</v>
      </c>
      <c r="AS307">
        <f t="shared" si="183"/>
        <v>-0.25659572710020484</v>
      </c>
      <c r="AT307">
        <f t="shared" si="184"/>
        <v>-0.20842695522154192</v>
      </c>
      <c r="AU307">
        <f t="shared" si="185"/>
        <v>-0.33482321540992543</v>
      </c>
      <c r="AV307">
        <f t="shared" si="186"/>
        <v>1.5349339611160915</v>
      </c>
      <c r="AW307">
        <f t="shared" si="187"/>
        <v>0.95841114179289466</v>
      </c>
      <c r="AX307">
        <f t="shared" si="188"/>
        <v>0.84285916798271954</v>
      </c>
      <c r="AY307">
        <f t="shared" si="189"/>
        <v>1.6063702930991144</v>
      </c>
      <c r="AZ307">
        <f t="shared" si="190"/>
        <v>-0.65319139322730257</v>
      </c>
      <c r="BA307">
        <f t="shared" si="191"/>
        <v>1.0108046361490546</v>
      </c>
      <c r="BB307">
        <f t="shared" si="192"/>
        <v>-0.2557016241694543</v>
      </c>
      <c r="BC307">
        <f t="shared" si="193"/>
        <v>-0.17297965353839392</v>
      </c>
      <c r="BD307" t="str">
        <f t="shared" si="194"/>
        <v>C00144</v>
      </c>
    </row>
    <row r="308" spans="1:56" x14ac:dyDescent="0.2">
      <c r="A308" t="s">
        <v>337</v>
      </c>
      <c r="B308">
        <v>3297326.25</v>
      </c>
      <c r="C308">
        <v>3189677</v>
      </c>
      <c r="D308">
        <v>3552659.5</v>
      </c>
      <c r="E308">
        <v>2229484.5</v>
      </c>
      <c r="F308">
        <v>3254877.75</v>
      </c>
      <c r="G308">
        <v>1567916.125</v>
      </c>
      <c r="H308">
        <v>1887697.5</v>
      </c>
      <c r="I308">
        <v>1739846.625</v>
      </c>
      <c r="J308">
        <v>1111027.375</v>
      </c>
      <c r="K308">
        <v>867909.0625</v>
      </c>
      <c r="L308">
        <v>628501.6875</v>
      </c>
      <c r="M308">
        <v>1037474.375</v>
      </c>
      <c r="N308">
        <v>1524744.5</v>
      </c>
      <c r="O308">
        <v>2210690.25</v>
      </c>
      <c r="P308">
        <v>1406358.75</v>
      </c>
      <c r="Q308">
        <v>1303111.5</v>
      </c>
      <c r="R308" s="2"/>
      <c r="S308" s="4" t="s">
        <v>422</v>
      </c>
      <c r="T308">
        <f t="shared" si="159"/>
        <v>6.5181619200169436</v>
      </c>
      <c r="U308">
        <f t="shared" si="160"/>
        <v>6.5037467068126862</v>
      </c>
      <c r="V308">
        <f t="shared" si="161"/>
        <v>6.5505535850977115</v>
      </c>
      <c r="W308">
        <f t="shared" si="162"/>
        <v>6.3482044573593788</v>
      </c>
      <c r="X308">
        <f t="shared" si="163"/>
        <v>6.5125346815378666</v>
      </c>
      <c r="Y308">
        <f t="shared" si="164"/>
        <v>6.1953228265729345</v>
      </c>
      <c r="Z308">
        <f t="shared" si="165"/>
        <v>6.2759324006577923</v>
      </c>
      <c r="AA308">
        <f t="shared" si="166"/>
        <v>6.2405109650342938</v>
      </c>
      <c r="AB308">
        <f t="shared" si="167"/>
        <v>6.0457247598094312</v>
      </c>
      <c r="AC308">
        <f t="shared" si="168"/>
        <v>5.9384742231910046</v>
      </c>
      <c r="AD308">
        <f t="shared" si="169"/>
        <v>5.7983064480855475</v>
      </c>
      <c r="AE308">
        <f t="shared" si="170"/>
        <v>6.015977378701205</v>
      </c>
      <c r="AF308">
        <f t="shared" si="171"/>
        <v>6.1831970754621315</v>
      </c>
      <c r="AG308">
        <f t="shared" si="172"/>
        <v>6.3445278958398497</v>
      </c>
      <c r="AH308">
        <f t="shared" si="173"/>
        <v>6.1480961195968016</v>
      </c>
      <c r="AI308">
        <f t="shared" si="174"/>
        <v>6.1149815774646905</v>
      </c>
      <c r="AJ308">
        <f t="shared" si="175"/>
        <v>0</v>
      </c>
      <c r="AL308">
        <f t="shared" si="176"/>
        <v>6.2333908138275174</v>
      </c>
      <c r="AM308">
        <f t="shared" si="177"/>
        <v>0.22272859216982874</v>
      </c>
      <c r="AN308">
        <f t="shared" si="178"/>
        <v>1.2785565760335369</v>
      </c>
      <c r="AO308">
        <f t="shared" si="179"/>
        <v>1.2138355940355634</v>
      </c>
      <c r="AP308">
        <f t="shared" si="180"/>
        <v>1.4239876801643863</v>
      </c>
      <c r="AQ308">
        <f t="shared" si="181"/>
        <v>0.51548677434425183</v>
      </c>
      <c r="AR308">
        <f t="shared" si="182"/>
        <v>1.2532915733490757</v>
      </c>
      <c r="AS308">
        <f t="shared" si="183"/>
        <v>-0.17091648128209913</v>
      </c>
      <c r="AT308">
        <f t="shared" si="184"/>
        <v>0.19100191141080516</v>
      </c>
      <c r="AU308">
        <f t="shared" si="185"/>
        <v>3.1967836447991331E-2</v>
      </c>
      <c r="AV308">
        <f t="shared" si="186"/>
        <v>-0.84257729189520614</v>
      </c>
      <c r="AW308">
        <f t="shared" si="187"/>
        <v>-1.3241074608492172</v>
      </c>
      <c r="AX308">
        <f t="shared" si="188"/>
        <v>-1.9534284372893695</v>
      </c>
      <c r="AY308">
        <f t="shared" si="189"/>
        <v>-0.97613617097052552</v>
      </c>
      <c r="AZ308">
        <f t="shared" si="190"/>
        <v>-0.22535830661163411</v>
      </c>
      <c r="BA308">
        <f t="shared" si="191"/>
        <v>0.49897986122765586</v>
      </c>
      <c r="BB308">
        <f t="shared" si="192"/>
        <v>-0.38295350138826934</v>
      </c>
      <c r="BC308">
        <f t="shared" si="193"/>
        <v>-0.53163015672698533</v>
      </c>
      <c r="BD308">
        <f t="shared" si="194"/>
        <v>0</v>
      </c>
    </row>
    <row r="309" spans="1:56" x14ac:dyDescent="0.2">
      <c r="A309" t="s">
        <v>239</v>
      </c>
      <c r="B309">
        <v>5581883.5</v>
      </c>
      <c r="C309">
        <v>5773802</v>
      </c>
      <c r="D309">
        <v>5008578</v>
      </c>
      <c r="E309">
        <v>3764407.75</v>
      </c>
      <c r="F309">
        <v>5403050</v>
      </c>
      <c r="G309">
        <v>3913520</v>
      </c>
      <c r="H309">
        <v>3601712.25</v>
      </c>
      <c r="I309">
        <v>3865716</v>
      </c>
      <c r="J309">
        <v>1474106.375</v>
      </c>
      <c r="K309">
        <v>1180086.5</v>
      </c>
      <c r="L309">
        <v>1230917.25</v>
      </c>
      <c r="M309">
        <v>1615316.375</v>
      </c>
      <c r="N309">
        <v>3450334</v>
      </c>
      <c r="O309">
        <v>4175940.5</v>
      </c>
      <c r="P309">
        <v>3809941.75</v>
      </c>
      <c r="Q309">
        <v>2869167.5</v>
      </c>
      <c r="R309" s="2" t="s">
        <v>330</v>
      </c>
      <c r="S309" s="4" t="s">
        <v>422</v>
      </c>
      <c r="T309">
        <f t="shared" si="159"/>
        <v>6.7467807680474303</v>
      </c>
      <c r="U309">
        <f t="shared" si="160"/>
        <v>6.7614618866140077</v>
      </c>
      <c r="V309">
        <f t="shared" si="161"/>
        <v>6.6997144415533612</v>
      </c>
      <c r="W309">
        <f t="shared" si="162"/>
        <v>6.5756966588530021</v>
      </c>
      <c r="X309">
        <f t="shared" si="163"/>
        <v>6.7326389865330176</v>
      </c>
      <c r="Y309">
        <f t="shared" si="164"/>
        <v>6.5925675576186444</v>
      </c>
      <c r="Z309">
        <f t="shared" si="165"/>
        <v>6.5565090129729509</v>
      </c>
      <c r="AA309">
        <f t="shared" si="166"/>
        <v>6.587229944839093</v>
      </c>
      <c r="AB309">
        <f t="shared" si="167"/>
        <v>6.1685288243701093</v>
      </c>
      <c r="AC309">
        <f t="shared" si="168"/>
        <v>6.0719138421331129</v>
      </c>
      <c r="AD309">
        <f t="shared" si="169"/>
        <v>6.0902288579058617</v>
      </c>
      <c r="AE309">
        <f t="shared" si="170"/>
        <v>6.2082575956827855</v>
      </c>
      <c r="AF309">
        <f t="shared" si="171"/>
        <v>6.537861137779343</v>
      </c>
      <c r="AG309">
        <f t="shared" si="172"/>
        <v>6.6207543020857376</v>
      </c>
      <c r="AH309">
        <f t="shared" si="173"/>
        <v>6.5809183358207752</v>
      </c>
      <c r="AI309">
        <f t="shared" si="174"/>
        <v>6.4577559027954221</v>
      </c>
      <c r="AJ309" t="str">
        <f t="shared" si="175"/>
        <v>C00043</v>
      </c>
      <c r="AL309">
        <f t="shared" si="176"/>
        <v>6.49930112847529</v>
      </c>
      <c r="AM309">
        <f t="shared" si="177"/>
        <v>0.23364751258588898</v>
      </c>
      <c r="AN309">
        <f t="shared" si="178"/>
        <v>1.0592008313427548</v>
      </c>
      <c r="AO309">
        <f t="shared" si="179"/>
        <v>1.1220353053934067</v>
      </c>
      <c r="AP309">
        <f t="shared" si="180"/>
        <v>0.85775924108928459</v>
      </c>
      <c r="AQ309">
        <f t="shared" si="181"/>
        <v>0.32696915765208129</v>
      </c>
      <c r="AR309">
        <f t="shared" si="182"/>
        <v>0.99867469366682227</v>
      </c>
      <c r="AS309">
        <f t="shared" si="183"/>
        <v>0.39917578454454838</v>
      </c>
      <c r="AT309">
        <f t="shared" si="184"/>
        <v>0.24484696568995676</v>
      </c>
      <c r="AU309">
        <f t="shared" si="185"/>
        <v>0.37633106122403215</v>
      </c>
      <c r="AV309">
        <f t="shared" si="186"/>
        <v>-1.4156893880202921</v>
      </c>
      <c r="AW309">
        <f t="shared" si="187"/>
        <v>-1.8291968170860333</v>
      </c>
      <c r="AX309">
        <f t="shared" si="188"/>
        <v>-1.7508094395785749</v>
      </c>
      <c r="AY309">
        <f t="shared" si="189"/>
        <v>-1.2456521773820155</v>
      </c>
      <c r="AZ309">
        <f t="shared" si="190"/>
        <v>0.16503496603619236</v>
      </c>
      <c r="BA309">
        <f t="shared" si="191"/>
        <v>0.51981368115700077</v>
      </c>
      <c r="BB309">
        <f t="shared" si="192"/>
        <v>0.34931768133197111</v>
      </c>
      <c r="BC309">
        <f t="shared" si="193"/>
        <v>-0.17781154706107044</v>
      </c>
      <c r="BD309" t="str">
        <f t="shared" si="194"/>
        <v>C00043</v>
      </c>
    </row>
    <row r="310" spans="1:56" x14ac:dyDescent="0.2">
      <c r="A310" t="s">
        <v>244</v>
      </c>
      <c r="B310">
        <v>1119530.875</v>
      </c>
      <c r="C310">
        <v>1013529.688</v>
      </c>
      <c r="D310">
        <v>1253137.25</v>
      </c>
      <c r="E310">
        <v>841924.6875</v>
      </c>
      <c r="F310">
        <v>977487.6875</v>
      </c>
      <c r="G310">
        <v>735974.8125</v>
      </c>
      <c r="H310">
        <v>792562.4375</v>
      </c>
      <c r="I310">
        <v>1018720.938</v>
      </c>
      <c r="J310">
        <v>369292.1875</v>
      </c>
      <c r="K310">
        <v>291585.03120000003</v>
      </c>
      <c r="L310">
        <v>328789.65620000003</v>
      </c>
      <c r="M310">
        <v>380545.21879999997</v>
      </c>
      <c r="N310">
        <v>767881.875</v>
      </c>
      <c r="O310">
        <v>1092992.125</v>
      </c>
      <c r="P310">
        <v>776728.875</v>
      </c>
      <c r="Q310">
        <v>619337.3125</v>
      </c>
      <c r="R310" s="2" t="s">
        <v>321</v>
      </c>
      <c r="S310" s="4" t="s">
        <v>422</v>
      </c>
      <c r="T310">
        <f t="shared" si="159"/>
        <v>6.0490360752774688</v>
      </c>
      <c r="U310">
        <f t="shared" si="160"/>
        <v>6.0058364744357791</v>
      </c>
      <c r="V310">
        <f t="shared" si="161"/>
        <v>6.0979986397517676</v>
      </c>
      <c r="W310">
        <f t="shared" si="162"/>
        <v>5.925273244390354</v>
      </c>
      <c r="X310">
        <f t="shared" si="163"/>
        <v>5.9901112957001441</v>
      </c>
      <c r="Y310">
        <f t="shared" si="164"/>
        <v>5.8668629515936921</v>
      </c>
      <c r="Z310">
        <f t="shared" si="165"/>
        <v>5.899033485645103</v>
      </c>
      <c r="AA310">
        <f t="shared" si="166"/>
        <v>6.0080552324020076</v>
      </c>
      <c r="AB310">
        <f t="shared" si="167"/>
        <v>5.5673701201028365</v>
      </c>
      <c r="AC310">
        <f t="shared" si="168"/>
        <v>5.4647652252903063</v>
      </c>
      <c r="AD310">
        <f t="shared" si="169"/>
        <v>5.5169181460762706</v>
      </c>
      <c r="AE310">
        <f t="shared" si="170"/>
        <v>5.5804062698017294</v>
      </c>
      <c r="AF310">
        <f t="shared" si="171"/>
        <v>5.88529441667038</v>
      </c>
      <c r="AG310">
        <f t="shared" si="172"/>
        <v>6.0386170328725157</v>
      </c>
      <c r="AH310">
        <f t="shared" si="173"/>
        <v>5.8902694504101918</v>
      </c>
      <c r="AI310">
        <f t="shared" si="174"/>
        <v>5.791927245235982</v>
      </c>
      <c r="AJ310" t="str">
        <f t="shared" si="175"/>
        <v>C00052</v>
      </c>
      <c r="AL310">
        <f t="shared" si="176"/>
        <v>5.8486109566035323</v>
      </c>
      <c r="AM310">
        <f t="shared" si="177"/>
        <v>0.20527478997292589</v>
      </c>
      <c r="AN310">
        <f t="shared" si="178"/>
        <v>0.97637473505816763</v>
      </c>
      <c r="AO310">
        <f t="shared" si="179"/>
        <v>0.76592706709374103</v>
      </c>
      <c r="AP310">
        <f t="shared" si="180"/>
        <v>1.2148967887441395</v>
      </c>
      <c r="AQ310">
        <f t="shared" si="181"/>
        <v>0.37346177675754955</v>
      </c>
      <c r="AR310">
        <f t="shared" si="182"/>
        <v>0.68932156313629467</v>
      </c>
      <c r="AS310">
        <f t="shared" si="183"/>
        <v>8.8914936863738261E-2</v>
      </c>
      <c r="AT310">
        <f t="shared" si="184"/>
        <v>0.24563429853330296</v>
      </c>
      <c r="AU310">
        <f t="shared" si="185"/>
        <v>0.77673578825487888</v>
      </c>
      <c r="AV310">
        <f t="shared" si="186"/>
        <v>-1.3700700243697201</v>
      </c>
      <c r="AW310">
        <f t="shared" si="187"/>
        <v>-1.8699116991611691</v>
      </c>
      <c r="AX310">
        <f t="shared" si="188"/>
        <v>-1.6158477647012051</v>
      </c>
      <c r="AY310">
        <f t="shared" si="189"/>
        <v>-1.3065641759379072</v>
      </c>
      <c r="AZ310">
        <f t="shared" si="190"/>
        <v>0.17870416562933036</v>
      </c>
      <c r="BA310">
        <f t="shared" si="191"/>
        <v>0.92561817402927926</v>
      </c>
      <c r="BB310">
        <f t="shared" si="192"/>
        <v>0.20294013605934738</v>
      </c>
      <c r="BC310">
        <f t="shared" si="193"/>
        <v>-0.27613576598970757</v>
      </c>
      <c r="BD310" t="str">
        <f t="shared" si="194"/>
        <v>C00052</v>
      </c>
    </row>
    <row r="311" spans="1:56" x14ac:dyDescent="0.2">
      <c r="A311" t="s">
        <v>245</v>
      </c>
      <c r="B311">
        <v>10775173</v>
      </c>
      <c r="C311">
        <v>5291015.5</v>
      </c>
      <c r="D311">
        <v>9838984</v>
      </c>
      <c r="E311">
        <v>7293516</v>
      </c>
      <c r="F311">
        <v>8715072</v>
      </c>
      <c r="G311">
        <v>6670191.5</v>
      </c>
      <c r="H311">
        <v>7814159</v>
      </c>
      <c r="I311">
        <v>9237423</v>
      </c>
      <c r="J311">
        <v>3004436.75</v>
      </c>
      <c r="K311">
        <v>1712585.375</v>
      </c>
      <c r="L311">
        <v>1532096.125</v>
      </c>
      <c r="M311">
        <v>2752962</v>
      </c>
      <c r="N311">
        <v>2918921.75</v>
      </c>
      <c r="O311">
        <v>4285643</v>
      </c>
      <c r="P311">
        <v>3039197</v>
      </c>
      <c r="Q311">
        <v>2131047.5</v>
      </c>
      <c r="R311" s="2"/>
      <c r="S311" s="4" t="s">
        <v>422</v>
      </c>
      <c r="T311">
        <f t="shared" si="159"/>
        <v>7.0324242516719542</v>
      </c>
      <c r="U311">
        <f t="shared" si="160"/>
        <v>6.7235390337971506</v>
      </c>
      <c r="V311">
        <f t="shared" si="161"/>
        <v>6.9929502543282105</v>
      </c>
      <c r="W311">
        <f t="shared" si="162"/>
        <v>6.8629369400164917</v>
      </c>
      <c r="X311">
        <f t="shared" si="163"/>
        <v>6.9402709794062565</v>
      </c>
      <c r="Y311">
        <f t="shared" si="164"/>
        <v>6.8241383026121127</v>
      </c>
      <c r="Z311">
        <f t="shared" si="165"/>
        <v>6.8928822438634372</v>
      </c>
      <c r="AA311">
        <f t="shared" si="166"/>
        <v>6.9655508312876471</v>
      </c>
      <c r="AB311">
        <f t="shared" si="167"/>
        <v>6.4777630655916871</v>
      </c>
      <c r="AC311">
        <f t="shared" si="168"/>
        <v>6.233652230948219</v>
      </c>
      <c r="AD311">
        <f t="shared" si="169"/>
        <v>6.1852860141526156</v>
      </c>
      <c r="AE311">
        <f t="shared" si="170"/>
        <v>6.4398002167314301</v>
      </c>
      <c r="AF311">
        <f t="shared" si="171"/>
        <v>6.4652224526451851</v>
      </c>
      <c r="AG311">
        <f t="shared" si="172"/>
        <v>6.6320159908804452</v>
      </c>
      <c r="AH311">
        <f t="shared" si="173"/>
        <v>6.4827588518535579</v>
      </c>
      <c r="AI311">
        <f t="shared" si="174"/>
        <v>6.3285931300323552</v>
      </c>
      <c r="AJ311">
        <f t="shared" si="175"/>
        <v>0</v>
      </c>
      <c r="AL311">
        <f t="shared" si="176"/>
        <v>6.654986549363672</v>
      </c>
      <c r="AM311">
        <f t="shared" si="177"/>
        <v>0.2847517250692842</v>
      </c>
      <c r="AN311">
        <f t="shared" si="178"/>
        <v>1.3254975091597643</v>
      </c>
      <c r="AO311">
        <f t="shared" si="179"/>
        <v>0.24074475551218805</v>
      </c>
      <c r="AP311">
        <f t="shared" si="180"/>
        <v>1.1868714926390949</v>
      </c>
      <c r="AQ311">
        <f t="shared" si="181"/>
        <v>0.73028667553189497</v>
      </c>
      <c r="AR311">
        <f t="shared" si="182"/>
        <v>1.0018707699599387</v>
      </c>
      <c r="AS311">
        <f t="shared" si="183"/>
        <v>0.59403240913565569</v>
      </c>
      <c r="AT311">
        <f t="shared" si="184"/>
        <v>0.83544952867934963</v>
      </c>
      <c r="AU311">
        <f t="shared" si="185"/>
        <v>1.0906493432073514</v>
      </c>
      <c r="AV311">
        <f t="shared" si="186"/>
        <v>-0.62237896444302065</v>
      </c>
      <c r="AW311">
        <f t="shared" si="187"/>
        <v>-1.4796550163583251</v>
      </c>
      <c r="AX311">
        <f t="shared" si="188"/>
        <v>-1.6495090068261096</v>
      </c>
      <c r="AY311">
        <f t="shared" si="189"/>
        <v>-0.75569808253096238</v>
      </c>
      <c r="AZ311">
        <f t="shared" si="190"/>
        <v>-0.66641948059248624</v>
      </c>
      <c r="BA311">
        <f t="shared" si="191"/>
        <v>-8.0668724579763804E-2</v>
      </c>
      <c r="BB311">
        <f t="shared" si="192"/>
        <v>-0.60483460624587448</v>
      </c>
      <c r="BC311">
        <f t="shared" si="193"/>
        <v>-1.1462386022486799</v>
      </c>
      <c r="BD311">
        <f t="shared" si="194"/>
        <v>0</v>
      </c>
    </row>
    <row r="312" spans="1:56" x14ac:dyDescent="0.2">
      <c r="A312" t="s">
        <v>338</v>
      </c>
      <c r="B312">
        <v>1434651136</v>
      </c>
      <c r="C312">
        <v>1359636096</v>
      </c>
      <c r="D312">
        <v>1583202560</v>
      </c>
      <c r="E312">
        <v>1268827136</v>
      </c>
      <c r="F312">
        <v>1294505728</v>
      </c>
      <c r="G312">
        <v>1060032512</v>
      </c>
      <c r="H312">
        <v>1210037888</v>
      </c>
      <c r="I312">
        <v>1207630976</v>
      </c>
      <c r="J312">
        <v>704902848</v>
      </c>
      <c r="K312">
        <v>486625568</v>
      </c>
      <c r="L312">
        <v>589852608</v>
      </c>
      <c r="M312">
        <v>734805248</v>
      </c>
      <c r="N312">
        <v>759869184</v>
      </c>
      <c r="O312">
        <v>873397056</v>
      </c>
      <c r="P312">
        <v>867004160</v>
      </c>
      <c r="Q312">
        <v>733054528</v>
      </c>
      <c r="R312" s="2"/>
      <c r="S312" s="4" t="s">
        <v>422</v>
      </c>
      <c r="T312">
        <f t="shared" si="159"/>
        <v>9.1567463065543713</v>
      </c>
      <c r="U312">
        <f t="shared" si="160"/>
        <v>9.1334226858356526</v>
      </c>
      <c r="V312">
        <f t="shared" si="161"/>
        <v>9.1995364834425128</v>
      </c>
      <c r="W312">
        <f t="shared" si="162"/>
        <v>9.1034024581899846</v>
      </c>
      <c r="X312">
        <f t="shared" si="163"/>
        <v>9.112103976465205</v>
      </c>
      <c r="Y312">
        <f t="shared" si="164"/>
        <v>9.0253191856097335</v>
      </c>
      <c r="Z312">
        <f t="shared" si="165"/>
        <v>9.0827989689046493</v>
      </c>
      <c r="AA312">
        <f t="shared" si="166"/>
        <v>9.0819342442428592</v>
      </c>
      <c r="AB312">
        <f t="shared" si="167"/>
        <v>8.8481292652397237</v>
      </c>
      <c r="AC312">
        <f t="shared" si="168"/>
        <v>8.6871949236445261</v>
      </c>
      <c r="AD312">
        <f t="shared" si="169"/>
        <v>8.7707435039655479</v>
      </c>
      <c r="AE312">
        <f t="shared" si="170"/>
        <v>8.8661722493884003</v>
      </c>
      <c r="AF312">
        <f t="shared" si="171"/>
        <v>8.8807388323373928</v>
      </c>
      <c r="AG312">
        <f t="shared" si="172"/>
        <v>8.9412117236912181</v>
      </c>
      <c r="AH312">
        <f t="shared" si="173"/>
        <v>8.9380211812832577</v>
      </c>
      <c r="AI312">
        <f t="shared" si="174"/>
        <v>8.8651362806830498</v>
      </c>
      <c r="AJ312">
        <f t="shared" si="175"/>
        <v>0</v>
      </c>
      <c r="AL312">
        <f t="shared" si="176"/>
        <v>8.9807882668423815</v>
      </c>
      <c r="AM312">
        <f t="shared" si="177"/>
        <v>0.15162205722420402</v>
      </c>
      <c r="AN312">
        <f t="shared" si="178"/>
        <v>1.1605042362128093</v>
      </c>
      <c r="AO312">
        <f t="shared" si="179"/>
        <v>1.0066768766207288</v>
      </c>
      <c r="AP312">
        <f t="shared" si="180"/>
        <v>1.4427202783343562</v>
      </c>
      <c r="AQ312">
        <f t="shared" si="181"/>
        <v>0.80868307416705931</v>
      </c>
      <c r="AR312">
        <f t="shared" si="182"/>
        <v>0.86607260201361402</v>
      </c>
      <c r="AS312">
        <f t="shared" si="183"/>
        <v>0.29369683793106649</v>
      </c>
      <c r="AT312">
        <f t="shared" si="184"/>
        <v>0.67279592382409281</v>
      </c>
      <c r="AU312">
        <f t="shared" si="185"/>
        <v>0.66709276507779358</v>
      </c>
      <c r="AV312">
        <f t="shared" si="186"/>
        <v>-0.87493207803198825</v>
      </c>
      <c r="AW312">
        <f t="shared" si="187"/>
        <v>-1.9363498198927485</v>
      </c>
      <c r="AX312">
        <f t="shared" si="188"/>
        <v>-1.3853179855371553</v>
      </c>
      <c r="AY312">
        <f t="shared" si="189"/>
        <v>-0.75593234620539496</v>
      </c>
      <c r="AZ312">
        <f t="shared" si="190"/>
        <v>-0.65986068476201509</v>
      </c>
      <c r="BA312">
        <f t="shared" si="191"/>
        <v>-0.26102101419611706</v>
      </c>
      <c r="BB312">
        <f t="shared" si="192"/>
        <v>-0.28206374680620483</v>
      </c>
      <c r="BC312">
        <f t="shared" si="193"/>
        <v>-0.7627649187500255</v>
      </c>
      <c r="BD312">
        <f t="shared" si="194"/>
        <v>0</v>
      </c>
    </row>
    <row r="313" spans="1:56" x14ac:dyDescent="0.2">
      <c r="A313" t="s">
        <v>246</v>
      </c>
      <c r="B313">
        <v>2003721.5</v>
      </c>
      <c r="C313">
        <v>1593028.875</v>
      </c>
      <c r="D313">
        <v>874024.0625</v>
      </c>
      <c r="E313">
        <v>1631826.875</v>
      </c>
      <c r="F313">
        <v>925707.9375</v>
      </c>
      <c r="G313">
        <v>1328074.25</v>
      </c>
      <c r="H313">
        <v>698644.1875</v>
      </c>
      <c r="I313">
        <v>1005708.125</v>
      </c>
      <c r="J313">
        <v>747578.5</v>
      </c>
      <c r="K313">
        <v>739332.5</v>
      </c>
      <c r="L313">
        <v>1118001.25</v>
      </c>
      <c r="M313">
        <v>1125784.75</v>
      </c>
      <c r="N313">
        <v>565468.25</v>
      </c>
      <c r="O313">
        <v>755510.75</v>
      </c>
      <c r="P313">
        <v>632567.5</v>
      </c>
      <c r="Q313">
        <v>627759.125</v>
      </c>
      <c r="R313" s="2" t="s">
        <v>247</v>
      </c>
      <c r="S313" s="4" t="s">
        <v>422</v>
      </c>
      <c r="T313">
        <f t="shared" si="159"/>
        <v>6.3018373582039935</v>
      </c>
      <c r="U313">
        <f t="shared" si="160"/>
        <v>6.2022236478284469</v>
      </c>
      <c r="V313">
        <f t="shared" si="161"/>
        <v>5.9415233892329367</v>
      </c>
      <c r="W313">
        <f t="shared" si="162"/>
        <v>6.2126740813660968</v>
      </c>
      <c r="X313">
        <f t="shared" si="163"/>
        <v>5.9664739876113959</v>
      </c>
      <c r="Y313">
        <f t="shared" si="164"/>
        <v>6.123222356254777</v>
      </c>
      <c r="Z313">
        <f t="shared" si="165"/>
        <v>5.8442560502116399</v>
      </c>
      <c r="AA313">
        <f t="shared" si="166"/>
        <v>6.0024719587575577</v>
      </c>
      <c r="AB313">
        <f t="shared" si="167"/>
        <v>5.8736568027848737</v>
      </c>
      <c r="AC313">
        <f t="shared" si="168"/>
        <v>5.8688397975818392</v>
      </c>
      <c r="AD313">
        <f t="shared" si="169"/>
        <v>6.0484422891208869</v>
      </c>
      <c r="AE313">
        <f t="shared" si="170"/>
        <v>6.0514553613647708</v>
      </c>
      <c r="AF313">
        <f t="shared" si="171"/>
        <v>5.7524082251113375</v>
      </c>
      <c r="AG313">
        <f t="shared" si="172"/>
        <v>5.8782406482018024</v>
      </c>
      <c r="AH313">
        <f t="shared" si="173"/>
        <v>5.8011068750073926</v>
      </c>
      <c r="AI313">
        <f t="shared" si="174"/>
        <v>5.7977930342616544</v>
      </c>
      <c r="AJ313" t="str">
        <f t="shared" si="175"/>
        <v>C00542</v>
      </c>
      <c r="AL313">
        <f t="shared" si="176"/>
        <v>5.9791641164313383</v>
      </c>
      <c r="AM313">
        <f t="shared" si="177"/>
        <v>0.16512761337281071</v>
      </c>
      <c r="AN313">
        <f t="shared" si="178"/>
        <v>1.9540840879480996</v>
      </c>
      <c r="AO313">
        <f t="shared" si="179"/>
        <v>1.3508311955887373</v>
      </c>
      <c r="AP313">
        <f t="shared" si="180"/>
        <v>-0.22794932010202112</v>
      </c>
      <c r="AQ313">
        <f t="shared" si="181"/>
        <v>1.4141182093364366</v>
      </c>
      <c r="AR313">
        <f t="shared" si="182"/>
        <v>-7.6850434404884746E-2</v>
      </c>
      <c r="AS313">
        <f t="shared" si="183"/>
        <v>0.87240551038666425</v>
      </c>
      <c r="AT313">
        <f t="shared" si="184"/>
        <v>-0.81699276979868152</v>
      </c>
      <c r="AU313">
        <f t="shared" si="185"/>
        <v>0.14115048264881658</v>
      </c>
      <c r="AV313">
        <f t="shared" si="186"/>
        <v>-0.6389440959717585</v>
      </c>
      <c r="AW313">
        <f t="shared" si="187"/>
        <v>-0.66811550531175246</v>
      </c>
      <c r="AX313">
        <f t="shared" si="188"/>
        <v>0.41954323250066239</v>
      </c>
      <c r="AY313">
        <f t="shared" si="189"/>
        <v>0.4377901639637925</v>
      </c>
      <c r="AZ313">
        <f t="shared" si="190"/>
        <v>-1.3732160641603357</v>
      </c>
      <c r="BA313">
        <f t="shared" si="191"/>
        <v>-0.6111846841853138</v>
      </c>
      <c r="BB313">
        <f t="shared" si="192"/>
        <v>-1.0783008231454514</v>
      </c>
      <c r="BC313">
        <f t="shared" si="193"/>
        <v>-1.0983691852930746</v>
      </c>
      <c r="BD313" t="str">
        <f t="shared" si="194"/>
        <v>C00542</v>
      </c>
    </row>
    <row r="314" spans="1:56" x14ac:dyDescent="0.2">
      <c r="A314" t="s">
        <v>339</v>
      </c>
      <c r="B314">
        <v>1445760.875</v>
      </c>
      <c r="C314">
        <v>1728572.5</v>
      </c>
      <c r="D314">
        <v>2380880.25</v>
      </c>
      <c r="E314">
        <v>1202687.25</v>
      </c>
      <c r="F314">
        <v>1373917.75</v>
      </c>
      <c r="G314">
        <v>791410.625</v>
      </c>
      <c r="H314">
        <v>1311695.25</v>
      </c>
      <c r="I314">
        <v>1051566.625</v>
      </c>
      <c r="J314">
        <v>1054891.375</v>
      </c>
      <c r="K314">
        <v>708223.8125</v>
      </c>
      <c r="L314">
        <v>810444.5625</v>
      </c>
      <c r="M314">
        <v>1245177.875</v>
      </c>
      <c r="N314">
        <v>1928023.875</v>
      </c>
      <c r="O314">
        <v>3312342</v>
      </c>
      <c r="P314">
        <v>2531012.75</v>
      </c>
      <c r="Q314">
        <v>1683646.375</v>
      </c>
      <c r="R314" s="2" t="s">
        <v>340</v>
      </c>
      <c r="S314" s="4" t="s">
        <v>422</v>
      </c>
      <c r="T314">
        <f t="shared" si="159"/>
        <v>6.1600964677470156</v>
      </c>
      <c r="U314">
        <f t="shared" si="160"/>
        <v>6.2376875994929044</v>
      </c>
      <c r="V314">
        <f t="shared" si="161"/>
        <v>6.3767375524514716</v>
      </c>
      <c r="W314">
        <f t="shared" si="162"/>
        <v>6.0801527069259542</v>
      </c>
      <c r="X314">
        <f t="shared" si="163"/>
        <v>6.1379607343317328</v>
      </c>
      <c r="Y314">
        <f t="shared" si="164"/>
        <v>5.8984018765439776</v>
      </c>
      <c r="Z314">
        <f t="shared" si="165"/>
        <v>6.1178329458498961</v>
      </c>
      <c r="AA314">
        <f t="shared" si="166"/>
        <v>6.0218367938584905</v>
      </c>
      <c r="AB314">
        <f t="shared" si="167"/>
        <v>6.0232077414660399</v>
      </c>
      <c r="AC314">
        <f t="shared" si="168"/>
        <v>5.8501705248839544</v>
      </c>
      <c r="AD314">
        <f t="shared" si="169"/>
        <v>5.908723312801099</v>
      </c>
      <c r="AE314">
        <f t="shared" si="170"/>
        <v>6.0952313952976773</v>
      </c>
      <c r="AF314">
        <f t="shared" si="171"/>
        <v>6.2851124075318303</v>
      </c>
      <c r="AG314">
        <f t="shared" si="172"/>
        <v>6.5201351714234512</v>
      </c>
      <c r="AH314">
        <f t="shared" si="173"/>
        <v>6.4032943329262109</v>
      </c>
      <c r="AI314">
        <f t="shared" si="174"/>
        <v>6.2262508796141285</v>
      </c>
      <c r="AJ314" t="str">
        <f t="shared" si="175"/>
        <v>C00307</v>
      </c>
      <c r="AL314">
        <f t="shared" si="176"/>
        <v>6.146427027696614</v>
      </c>
      <c r="AM314">
        <f t="shared" si="177"/>
        <v>0.1892437755000935</v>
      </c>
      <c r="AN314">
        <f t="shared" si="178"/>
        <v>7.2231913648303059E-2</v>
      </c>
      <c r="AO314">
        <f t="shared" si="179"/>
        <v>0.48223816902366412</v>
      </c>
      <c r="AP314">
        <f t="shared" si="180"/>
        <v>1.2170044914092502</v>
      </c>
      <c r="AQ314">
        <f t="shared" si="181"/>
        <v>-0.35020607993855529</v>
      </c>
      <c r="AR314">
        <f t="shared" si="182"/>
        <v>-4.4737499780419229E-2</v>
      </c>
      <c r="AS314">
        <f t="shared" si="183"/>
        <v>-1.3106119368904359</v>
      </c>
      <c r="AT314">
        <f t="shared" si="184"/>
        <v>-0.15109655137219416</v>
      </c>
      <c r="AU314">
        <f t="shared" si="185"/>
        <v>-0.65835842425402236</v>
      </c>
      <c r="AV314">
        <f t="shared" si="186"/>
        <v>-0.65111407709424618</v>
      </c>
      <c r="AW314">
        <f t="shared" si="187"/>
        <v>-1.5654755461825651</v>
      </c>
      <c r="AX314">
        <f t="shared" si="188"/>
        <v>-1.2560715102378497</v>
      </c>
      <c r="AY314">
        <f t="shared" si="189"/>
        <v>-0.27052743089513853</v>
      </c>
      <c r="AZ314">
        <f t="shared" si="190"/>
        <v>0.7328398488601694</v>
      </c>
      <c r="BA314">
        <f t="shared" si="191"/>
        <v>1.9747447055485987</v>
      </c>
      <c r="BB314">
        <f t="shared" si="192"/>
        <v>1.3573355559558151</v>
      </c>
      <c r="BC314">
        <f t="shared" si="193"/>
        <v>0.42180437219968203</v>
      </c>
      <c r="BD314" t="str">
        <f t="shared" si="194"/>
        <v>C00307</v>
      </c>
    </row>
    <row r="315" spans="1:56" x14ac:dyDescent="0.2">
      <c r="A315" t="s">
        <v>251</v>
      </c>
      <c r="B315">
        <v>761106944</v>
      </c>
      <c r="C315">
        <v>606564672</v>
      </c>
      <c r="D315">
        <v>721606336</v>
      </c>
      <c r="E315">
        <v>494070720</v>
      </c>
      <c r="F315">
        <v>759637888</v>
      </c>
      <c r="G315">
        <v>547424000</v>
      </c>
      <c r="H315">
        <v>519419776</v>
      </c>
      <c r="I315">
        <v>497462688</v>
      </c>
      <c r="J315">
        <v>432107904</v>
      </c>
      <c r="K315">
        <v>279719616</v>
      </c>
      <c r="L315">
        <v>354529440</v>
      </c>
      <c r="M315">
        <v>312331104</v>
      </c>
      <c r="N315">
        <v>357636096</v>
      </c>
      <c r="O315">
        <v>367852544</v>
      </c>
      <c r="P315">
        <v>344315072</v>
      </c>
      <c r="Q315">
        <v>383222528</v>
      </c>
      <c r="R315" s="2" t="s">
        <v>252</v>
      </c>
      <c r="S315" s="4" t="s">
        <v>422</v>
      </c>
      <c r="T315">
        <f t="shared" si="159"/>
        <v>8.8814456842684528</v>
      </c>
      <c r="U315">
        <f t="shared" si="160"/>
        <v>8.7828771122023888</v>
      </c>
      <c r="V315">
        <f t="shared" si="161"/>
        <v>8.858300337834546</v>
      </c>
      <c r="W315">
        <f t="shared" si="162"/>
        <v>8.6937891171575412</v>
      </c>
      <c r="X315">
        <f t="shared" si="163"/>
        <v>8.8806066176486773</v>
      </c>
      <c r="Y315">
        <f t="shared" si="164"/>
        <v>8.73832383370085</v>
      </c>
      <c r="Z315">
        <f t="shared" si="165"/>
        <v>8.7155184806112924</v>
      </c>
      <c r="AA315">
        <f t="shared" si="166"/>
        <v>8.6967605122105969</v>
      </c>
      <c r="AB315">
        <f t="shared" si="167"/>
        <v>8.6355922103801728</v>
      </c>
      <c r="AC315">
        <f t="shared" si="168"/>
        <v>8.4467229233677319</v>
      </c>
      <c r="AD315">
        <f t="shared" si="169"/>
        <v>8.549652304677549</v>
      </c>
      <c r="AE315">
        <f t="shared" si="170"/>
        <v>8.4946152363048704</v>
      </c>
      <c r="AF315">
        <f t="shared" si="171"/>
        <v>8.5534413454216782</v>
      </c>
      <c r="AG315">
        <f t="shared" si="172"/>
        <v>8.5656737638890288</v>
      </c>
      <c r="AH315">
        <f t="shared" si="173"/>
        <v>8.536956033866927</v>
      </c>
      <c r="AI315">
        <f t="shared" si="174"/>
        <v>8.5834510314568959</v>
      </c>
      <c r="AJ315" t="str">
        <f t="shared" si="175"/>
        <v>C00062</v>
      </c>
      <c r="AL315">
        <f t="shared" si="176"/>
        <v>8.663357909062448</v>
      </c>
      <c r="AM315">
        <f t="shared" si="177"/>
        <v>0.13916900238834151</v>
      </c>
      <c r="AN315">
        <f t="shared" si="178"/>
        <v>1.5670714847653069</v>
      </c>
      <c r="AO315">
        <f t="shared" si="179"/>
        <v>0.8588062074802455</v>
      </c>
      <c r="AP315">
        <f t="shared" si="180"/>
        <v>1.4007604094777124</v>
      </c>
      <c r="AQ315">
        <f t="shared" si="181"/>
        <v>0.21866369358729082</v>
      </c>
      <c r="AR315">
        <f t="shared" si="182"/>
        <v>1.5610423647358755</v>
      </c>
      <c r="AS315">
        <f t="shared" si="183"/>
        <v>0.53866826198275652</v>
      </c>
      <c r="AT315">
        <f t="shared" si="184"/>
        <v>0.37480021163975852</v>
      </c>
      <c r="AU315">
        <f t="shared" si="185"/>
        <v>0.24001467693891526</v>
      </c>
      <c r="AV315">
        <f t="shared" si="186"/>
        <v>-0.19951065399460807</v>
      </c>
      <c r="AW315">
        <f t="shared" si="187"/>
        <v>-1.5566324539009848</v>
      </c>
      <c r="AX315">
        <f t="shared" si="188"/>
        <v>-0.8170325462821908</v>
      </c>
      <c r="AY315">
        <f t="shared" si="189"/>
        <v>-1.2125018492746882</v>
      </c>
      <c r="AZ315">
        <f t="shared" si="190"/>
        <v>-0.78980636315876673</v>
      </c>
      <c r="BA315">
        <f t="shared" si="191"/>
        <v>-0.70191022064553066</v>
      </c>
      <c r="BB315">
        <f t="shared" si="192"/>
        <v>-0.9082617035854379</v>
      </c>
      <c r="BC315">
        <f t="shared" si="193"/>
        <v>-0.57417151976542447</v>
      </c>
      <c r="BD315" t="str">
        <f t="shared" si="194"/>
        <v>C00062</v>
      </c>
    </row>
    <row r="316" spans="1:56" x14ac:dyDescent="0.2">
      <c r="A316" t="s">
        <v>253</v>
      </c>
      <c r="B316">
        <v>156305.0312</v>
      </c>
      <c r="C316">
        <v>203018.51560000001</v>
      </c>
      <c r="D316">
        <v>75076.359379999994</v>
      </c>
      <c r="E316">
        <v>171425</v>
      </c>
      <c r="F316">
        <v>84257.429690000004</v>
      </c>
      <c r="G316">
        <v>248381.3438</v>
      </c>
      <c r="H316">
        <v>217735.45310000001</v>
      </c>
      <c r="I316">
        <v>76711.273440000004</v>
      </c>
      <c r="J316">
        <v>328207.25</v>
      </c>
      <c r="K316">
        <v>235263.48439999999</v>
      </c>
      <c r="L316">
        <v>243976.60939999999</v>
      </c>
      <c r="M316">
        <v>178250.4688</v>
      </c>
      <c r="N316">
        <v>135888.60939999999</v>
      </c>
      <c r="O316">
        <v>157815.5625</v>
      </c>
      <c r="P316">
        <v>130637.0938</v>
      </c>
      <c r="Q316">
        <v>186139.625</v>
      </c>
      <c r="R316" s="2" t="s">
        <v>399</v>
      </c>
      <c r="S316" s="4" t="s">
        <v>422</v>
      </c>
      <c r="T316">
        <f t="shared" si="159"/>
        <v>5.1939729574640419</v>
      </c>
      <c r="U316">
        <f t="shared" si="160"/>
        <v>5.3075356480423359</v>
      </c>
      <c r="V316">
        <f t="shared" si="161"/>
        <v>4.8755032045525102</v>
      </c>
      <c r="W316">
        <f t="shared" si="162"/>
        <v>5.2340741581374122</v>
      </c>
      <c r="X316">
        <f t="shared" si="163"/>
        <v>4.9256082066484623</v>
      </c>
      <c r="Y316">
        <f t="shared" si="164"/>
        <v>5.3951189723862196</v>
      </c>
      <c r="Z316">
        <f t="shared" si="165"/>
        <v>5.3379291494457872</v>
      </c>
      <c r="AA316">
        <f t="shared" si="166"/>
        <v>4.8848591922802775</v>
      </c>
      <c r="AB316">
        <f t="shared" si="167"/>
        <v>5.5161481702582611</v>
      </c>
      <c r="AC316">
        <f t="shared" si="168"/>
        <v>5.3715545249055907</v>
      </c>
      <c r="AD316">
        <f t="shared" si="169"/>
        <v>5.3873481915213199</v>
      </c>
      <c r="AE316">
        <f t="shared" si="170"/>
        <v>5.2510306807229794</v>
      </c>
      <c r="AF316">
        <f t="shared" si="171"/>
        <v>5.133183054362731</v>
      </c>
      <c r="AG316">
        <f t="shared" si="172"/>
        <v>5.198149827609897</v>
      </c>
      <c r="AH316">
        <f t="shared" si="173"/>
        <v>5.1160665103640808</v>
      </c>
      <c r="AI316">
        <f t="shared" si="174"/>
        <v>5.2698388346407983</v>
      </c>
      <c r="AJ316" t="str">
        <f t="shared" si="175"/>
        <v>C00898</v>
      </c>
      <c r="AL316">
        <f t="shared" si="176"/>
        <v>5.2123700802089177</v>
      </c>
      <c r="AM316">
        <f t="shared" si="177"/>
        <v>0.18811094642685133</v>
      </c>
      <c r="AN316">
        <f t="shared" si="178"/>
        <v>-9.7799320530396167E-2</v>
      </c>
      <c r="AO316">
        <f t="shared" si="179"/>
        <v>0.50590127603458868</v>
      </c>
      <c r="AP316">
        <f t="shared" si="180"/>
        <v>-1.7907882664733776</v>
      </c>
      <c r="AQ316">
        <f t="shared" si="181"/>
        <v>0.1153791331167127</v>
      </c>
      <c r="AR316">
        <f t="shared" si="182"/>
        <v>-1.5244294869993933</v>
      </c>
      <c r="AS316">
        <f t="shared" si="183"/>
        <v>0.97149525664826486</v>
      </c>
      <c r="AT316">
        <f t="shared" si="184"/>
        <v>0.66747348637520332</v>
      </c>
      <c r="AU316">
        <f t="shared" si="185"/>
        <v>-1.7410517258547511</v>
      </c>
      <c r="AV316">
        <f t="shared" si="186"/>
        <v>1.6148878936583859</v>
      </c>
      <c r="AW316">
        <f t="shared" si="187"/>
        <v>0.84622637714798465</v>
      </c>
      <c r="AX316">
        <f t="shared" si="188"/>
        <v>0.93018569432610931</v>
      </c>
      <c r="AY316">
        <f t="shared" si="189"/>
        <v>0.20552020628472706</v>
      </c>
      <c r="AZ316">
        <f t="shared" si="190"/>
        <v>-0.42095915921075461</v>
      </c>
      <c r="BA316">
        <f t="shared" si="191"/>
        <v>-7.5595029790307217E-2</v>
      </c>
      <c r="BB316">
        <f t="shared" si="192"/>
        <v>-0.51195090808968646</v>
      </c>
      <c r="BC316">
        <f t="shared" si="193"/>
        <v>0.30550457335680808</v>
      </c>
      <c r="BD316" t="str">
        <f t="shared" si="194"/>
        <v>C00898</v>
      </c>
    </row>
    <row r="317" spans="1:56" x14ac:dyDescent="0.2">
      <c r="A317" t="s">
        <v>341</v>
      </c>
      <c r="B317">
        <v>6172387.5</v>
      </c>
      <c r="C317">
        <v>3751032</v>
      </c>
      <c r="D317">
        <v>5783382</v>
      </c>
      <c r="E317">
        <v>3038649.25</v>
      </c>
      <c r="F317">
        <v>7994537</v>
      </c>
      <c r="G317">
        <v>3489536</v>
      </c>
      <c r="H317">
        <v>3612744</v>
      </c>
      <c r="I317">
        <v>2883457.25</v>
      </c>
      <c r="J317">
        <v>7979757.5</v>
      </c>
      <c r="K317">
        <v>4735303.5</v>
      </c>
      <c r="L317">
        <v>6208822.5</v>
      </c>
      <c r="M317">
        <v>7668427.5</v>
      </c>
      <c r="N317">
        <v>10220657</v>
      </c>
      <c r="O317">
        <v>9030827</v>
      </c>
      <c r="P317">
        <v>7248989.5</v>
      </c>
      <c r="Q317">
        <v>11415904</v>
      </c>
      <c r="R317" s="2"/>
      <c r="S317" s="4" t="s">
        <v>422</v>
      </c>
      <c r="T317">
        <f t="shared" si="159"/>
        <v>6.7904531830795527</v>
      </c>
      <c r="U317">
        <f t="shared" si="160"/>
        <v>6.5741507691265006</v>
      </c>
      <c r="V317">
        <f t="shared" si="161"/>
        <v>6.762181878973661</v>
      </c>
      <c r="W317">
        <f t="shared" si="162"/>
        <v>6.482680572544302</v>
      </c>
      <c r="X317">
        <f t="shared" si="163"/>
        <v>6.902793316841767</v>
      </c>
      <c r="Y317">
        <f t="shared" si="164"/>
        <v>6.5427676831091874</v>
      </c>
      <c r="Z317">
        <f t="shared" si="165"/>
        <v>6.5578371884358955</v>
      </c>
      <c r="AA317">
        <f t="shared" si="166"/>
        <v>6.4599135169653206</v>
      </c>
      <c r="AB317">
        <f t="shared" si="167"/>
        <v>6.901989693604853</v>
      </c>
      <c r="AC317">
        <f t="shared" si="168"/>
        <v>6.6753478194852622</v>
      </c>
      <c r="AD317">
        <f t="shared" si="169"/>
        <v>6.7930092442601522</v>
      </c>
      <c r="AE317">
        <f t="shared" si="170"/>
        <v>6.8847063159582156</v>
      </c>
      <c r="AF317">
        <f t="shared" si="171"/>
        <v>7.0094788138323176</v>
      </c>
      <c r="AG317">
        <f t="shared" si="172"/>
        <v>6.9557275227488198</v>
      </c>
      <c r="AH317">
        <f t="shared" si="173"/>
        <v>6.8602774706867962</v>
      </c>
      <c r="AI317">
        <f t="shared" si="174"/>
        <v>7.0575103080002863</v>
      </c>
      <c r="AJ317">
        <f t="shared" si="175"/>
        <v>0</v>
      </c>
      <c r="AL317">
        <f t="shared" si="176"/>
        <v>6.7631765811033056</v>
      </c>
      <c r="AM317">
        <f t="shared" si="177"/>
        <v>0.19214637730314688</v>
      </c>
      <c r="AN317">
        <f t="shared" si="178"/>
        <v>0.14195740954935207</v>
      </c>
      <c r="AO317">
        <f t="shared" si="179"/>
        <v>-0.98375943710133706</v>
      </c>
      <c r="AP317">
        <f t="shared" si="180"/>
        <v>-5.1767935654350537E-3</v>
      </c>
      <c r="AQ317">
        <f t="shared" si="181"/>
        <v>-1.4598037834274056</v>
      </c>
      <c r="AR317">
        <f t="shared" si="182"/>
        <v>0.72661653942186955</v>
      </c>
      <c r="AS317">
        <f t="shared" si="183"/>
        <v>-1.1470884910121506</v>
      </c>
      <c r="AT317">
        <f t="shared" si="184"/>
        <v>-1.068661275582879</v>
      </c>
      <c r="AU317">
        <f t="shared" si="185"/>
        <v>-1.5782918647460666</v>
      </c>
      <c r="AV317">
        <f t="shared" si="186"/>
        <v>0.72243419027642564</v>
      </c>
      <c r="AW317">
        <f t="shared" si="187"/>
        <v>-0.45709298739198712</v>
      </c>
      <c r="AX317">
        <f t="shared" si="188"/>
        <v>0.15526008647969469</v>
      </c>
      <c r="AY317">
        <f t="shared" si="189"/>
        <v>0.63248517385875103</v>
      </c>
      <c r="AZ317">
        <f t="shared" si="190"/>
        <v>1.2818468720876492</v>
      </c>
      <c r="BA317">
        <f t="shared" si="191"/>
        <v>1.0021055007544017</v>
      </c>
      <c r="BB317">
        <f t="shared" si="192"/>
        <v>0.50534853139747615</v>
      </c>
      <c r="BC317">
        <f t="shared" si="193"/>
        <v>1.5318203290016457</v>
      </c>
      <c r="BD317">
        <f t="shared" si="194"/>
        <v>0</v>
      </c>
    </row>
    <row r="318" spans="1:56" x14ac:dyDescent="0.2">
      <c r="A318" t="s">
        <v>342</v>
      </c>
      <c r="B318">
        <v>7894669.5</v>
      </c>
      <c r="C318">
        <v>6746154.5</v>
      </c>
      <c r="D318">
        <v>8870895</v>
      </c>
      <c r="E318">
        <v>4823868</v>
      </c>
      <c r="F318">
        <v>6338508.5</v>
      </c>
      <c r="G318">
        <v>4952921.5</v>
      </c>
      <c r="H318">
        <v>4914781</v>
      </c>
      <c r="I318">
        <v>5985497</v>
      </c>
      <c r="J318">
        <v>2022227.125</v>
      </c>
      <c r="K318">
        <v>1511369</v>
      </c>
      <c r="L318">
        <v>1526192</v>
      </c>
      <c r="M318">
        <v>1919484.875</v>
      </c>
      <c r="N318">
        <v>4890530</v>
      </c>
      <c r="O318">
        <v>6146720</v>
      </c>
      <c r="P318">
        <v>4494327.5</v>
      </c>
      <c r="Q318">
        <v>3982062</v>
      </c>
      <c r="R318" s="2" t="s">
        <v>56</v>
      </c>
      <c r="S318" s="4" t="s">
        <v>422</v>
      </c>
      <c r="T318">
        <f t="shared" si="159"/>
        <v>6.8973339535551217</v>
      </c>
      <c r="U318">
        <f t="shared" si="160"/>
        <v>6.8290562831515977</v>
      </c>
      <c r="V318">
        <f t="shared" si="161"/>
        <v>6.9479674387666375</v>
      </c>
      <c r="W318">
        <f t="shared" si="162"/>
        <v>6.6833954152896515</v>
      </c>
      <c r="X318">
        <f t="shared" si="163"/>
        <v>6.8019870770577429</v>
      </c>
      <c r="Y318">
        <f t="shared" si="164"/>
        <v>6.6948614448031716</v>
      </c>
      <c r="Z318">
        <f t="shared" si="165"/>
        <v>6.6915041706705871</v>
      </c>
      <c r="AA318">
        <f t="shared" si="166"/>
        <v>6.7771002174652439</v>
      </c>
      <c r="AB318">
        <f t="shared" si="167"/>
        <v>6.3058299314699688</v>
      </c>
      <c r="AC318">
        <f t="shared" si="168"/>
        <v>6.1793705100697869</v>
      </c>
      <c r="AD318">
        <f t="shared" si="169"/>
        <v>6.1836091727376559</v>
      </c>
      <c r="AE318">
        <f t="shared" si="170"/>
        <v>6.2831846943487513</v>
      </c>
      <c r="AF318">
        <f t="shared" si="171"/>
        <v>6.6893559273450016</v>
      </c>
      <c r="AG318">
        <f t="shared" si="172"/>
        <v>6.7886434302634386</v>
      </c>
      <c r="AH318">
        <f t="shared" si="173"/>
        <v>6.6526647161161589</v>
      </c>
      <c r="AI318">
        <f t="shared" si="174"/>
        <v>6.6001080176321887</v>
      </c>
      <c r="AJ318" t="str">
        <f t="shared" si="175"/>
        <v>C00015</v>
      </c>
      <c r="AL318">
        <f t="shared" si="176"/>
        <v>6.6253732750464209</v>
      </c>
      <c r="AM318">
        <f t="shared" si="177"/>
        <v>0.24922645443937</v>
      </c>
      <c r="AN318">
        <f t="shared" si="178"/>
        <v>1.0912191449357611</v>
      </c>
      <c r="AO318">
        <f t="shared" si="179"/>
        <v>0.81726078623297727</v>
      </c>
      <c r="AP318">
        <f t="shared" si="180"/>
        <v>1.2943817077761097</v>
      </c>
      <c r="AQ318">
        <f t="shared" si="181"/>
        <v>0.23280891418108188</v>
      </c>
      <c r="AR318">
        <f t="shared" si="182"/>
        <v>0.70864789377440374</v>
      </c>
      <c r="AS318">
        <f t="shared" si="183"/>
        <v>0.27881538463909428</v>
      </c>
      <c r="AT318">
        <f t="shared" si="184"/>
        <v>0.265344607068003</v>
      </c>
      <c r="AU318">
        <f t="shared" si="185"/>
        <v>0.60879148146664352</v>
      </c>
      <c r="AV318">
        <f t="shared" si="186"/>
        <v>-1.2821405508306032</v>
      </c>
      <c r="AW318">
        <f t="shared" si="187"/>
        <v>-1.7895482483186165</v>
      </c>
      <c r="AX318">
        <f t="shared" si="188"/>
        <v>-1.7725409740410774</v>
      </c>
      <c r="AY318">
        <f t="shared" si="189"/>
        <v>-1.3730026431881646</v>
      </c>
      <c r="AZ318">
        <f t="shared" si="190"/>
        <v>0.25672496301609876</v>
      </c>
      <c r="BA318">
        <f t="shared" si="191"/>
        <v>0.6551076433049241</v>
      </c>
      <c r="BB318">
        <f t="shared" si="192"/>
        <v>0.10950459144126405</v>
      </c>
      <c r="BC318">
        <f t="shared" si="193"/>
        <v>-0.10137470145802116</v>
      </c>
      <c r="BD318" t="str">
        <f t="shared" si="194"/>
        <v>C00015</v>
      </c>
    </row>
    <row r="319" spans="1:56" x14ac:dyDescent="0.2">
      <c r="A319" t="s">
        <v>256</v>
      </c>
      <c r="B319">
        <v>169660096</v>
      </c>
      <c r="C319">
        <v>138930032</v>
      </c>
      <c r="D319">
        <v>172569264</v>
      </c>
      <c r="E319">
        <v>105227736</v>
      </c>
      <c r="F319">
        <v>134431680</v>
      </c>
      <c r="G319">
        <v>90107928</v>
      </c>
      <c r="H319">
        <v>92068144</v>
      </c>
      <c r="I319">
        <v>91014744</v>
      </c>
      <c r="J319">
        <v>82950248</v>
      </c>
      <c r="K319">
        <v>53817760</v>
      </c>
      <c r="L319">
        <v>65434748</v>
      </c>
      <c r="M319">
        <v>78027144</v>
      </c>
      <c r="N319">
        <v>81148952</v>
      </c>
      <c r="O319">
        <v>91194376</v>
      </c>
      <c r="P319">
        <v>88637744</v>
      </c>
      <c r="Q319">
        <v>89482896</v>
      </c>
      <c r="R319" s="2" t="s">
        <v>257</v>
      </c>
      <c r="S319" s="4" t="s">
        <v>422</v>
      </c>
      <c r="T319">
        <f t="shared" si="159"/>
        <v>8.229579708405705</v>
      </c>
      <c r="U319">
        <f t="shared" si="160"/>
        <v>8.1427961357453835</v>
      </c>
      <c r="V319">
        <f t="shared" si="161"/>
        <v>8.236963446860873</v>
      </c>
      <c r="W319">
        <f t="shared" si="162"/>
        <v>8.0221302265488781</v>
      </c>
      <c r="X319">
        <f t="shared" si="163"/>
        <v>8.128501626068326</v>
      </c>
      <c r="Y319">
        <f t="shared" si="164"/>
        <v>7.9547630033562093</v>
      </c>
      <c r="Z319">
        <f t="shared" si="165"/>
        <v>7.9641093883053582</v>
      </c>
      <c r="AA319">
        <f t="shared" si="166"/>
        <v>7.9591117518723529</v>
      </c>
      <c r="AB319">
        <f t="shared" si="167"/>
        <v>7.9188176887916093</v>
      </c>
      <c r="AC319">
        <f t="shared" si="168"/>
        <v>7.7309256176216321</v>
      </c>
      <c r="AD319">
        <f t="shared" si="169"/>
        <v>7.8158084342122702</v>
      </c>
      <c r="AE319">
        <f t="shared" si="170"/>
        <v>7.8922457108788828</v>
      </c>
      <c r="AF319">
        <f t="shared" si="171"/>
        <v>7.9092829154924296</v>
      </c>
      <c r="AG319">
        <f t="shared" si="172"/>
        <v>7.9599680560095685</v>
      </c>
      <c r="AH319">
        <f t="shared" si="173"/>
        <v>7.9476186939003792</v>
      </c>
      <c r="AI319">
        <f t="shared" si="174"/>
        <v>7.9517400310400053</v>
      </c>
      <c r="AJ319" t="str">
        <f t="shared" si="175"/>
        <v>C00047</v>
      </c>
      <c r="AL319">
        <f t="shared" si="176"/>
        <v>7.9852726521943671</v>
      </c>
      <c r="AM319">
        <f t="shared" si="177"/>
        <v>0.13837673350616878</v>
      </c>
      <c r="AN319">
        <f t="shared" si="178"/>
        <v>1.7655211972498741</v>
      </c>
      <c r="AO319">
        <f t="shared" si="179"/>
        <v>1.1383668306059131</v>
      </c>
      <c r="AP319">
        <f t="shared" si="180"/>
        <v>1.8188808789541606</v>
      </c>
      <c r="AQ319">
        <f t="shared" si="181"/>
        <v>0.26635673079295435</v>
      </c>
      <c r="AR319">
        <f t="shared" si="182"/>
        <v>1.0350654350976847</v>
      </c>
      <c r="AS319">
        <f t="shared" si="183"/>
        <v>-0.22048250500722838</v>
      </c>
      <c r="AT319">
        <f t="shared" si="184"/>
        <v>-0.15293946715446538</v>
      </c>
      <c r="AU319">
        <f t="shared" si="185"/>
        <v>-0.18905562849442456</v>
      </c>
      <c r="AV319">
        <f t="shared" si="186"/>
        <v>-0.48024665504765129</v>
      </c>
      <c r="AW319">
        <f t="shared" si="187"/>
        <v>-1.8380765908265664</v>
      </c>
      <c r="AX319">
        <f t="shared" si="188"/>
        <v>-1.224658319995263</v>
      </c>
      <c r="AY319">
        <f t="shared" si="189"/>
        <v>-0.67227299675589736</v>
      </c>
      <c r="AZ319">
        <f t="shared" si="190"/>
        <v>-0.54915110926902999</v>
      </c>
      <c r="BA319">
        <f t="shared" si="191"/>
        <v>-0.18286741956999994</v>
      </c>
      <c r="BB319">
        <f t="shared" si="192"/>
        <v>-0.27211191751617175</v>
      </c>
      <c r="BC319">
        <f t="shared" si="193"/>
        <v>-0.24232846306396566</v>
      </c>
      <c r="BD319" t="str">
        <f t="shared" si="194"/>
        <v>C00047</v>
      </c>
    </row>
    <row r="320" spans="1:56" x14ac:dyDescent="0.2">
      <c r="A320" t="s">
        <v>343</v>
      </c>
      <c r="B320">
        <v>191158</v>
      </c>
      <c r="C320">
        <v>154497.42189999999</v>
      </c>
      <c r="D320">
        <v>123116.25</v>
      </c>
      <c r="E320">
        <v>124131.5</v>
      </c>
      <c r="F320">
        <v>169394.29689999999</v>
      </c>
      <c r="G320">
        <v>155343.51560000001</v>
      </c>
      <c r="H320">
        <v>141087.45310000001</v>
      </c>
      <c r="I320">
        <v>144160.6875</v>
      </c>
      <c r="J320">
        <v>183579.95310000001</v>
      </c>
      <c r="K320">
        <v>162233.0312</v>
      </c>
      <c r="L320">
        <v>121282.28909999999</v>
      </c>
      <c r="M320">
        <v>104705.47659999999</v>
      </c>
      <c r="N320">
        <v>146193.6875</v>
      </c>
      <c r="O320">
        <v>126806.5312</v>
      </c>
      <c r="P320">
        <v>116943.53909999999</v>
      </c>
      <c r="Q320">
        <v>179169.42189999999</v>
      </c>
      <c r="R320" s="2" t="s">
        <v>417</v>
      </c>
      <c r="S320" s="4" t="s">
        <v>422</v>
      </c>
      <c r="T320">
        <f t="shared" si="159"/>
        <v>5.2813924780450963</v>
      </c>
      <c r="U320">
        <f t="shared" si="160"/>
        <v>5.1889212367450241</v>
      </c>
      <c r="V320">
        <f t="shared" si="161"/>
        <v>5.0903153788416997</v>
      </c>
      <c r="W320">
        <f t="shared" si="162"/>
        <v>5.0938820034186181</v>
      </c>
      <c r="X320">
        <f t="shared" si="163"/>
        <v>5.2288987845864607</v>
      </c>
      <c r="Y320">
        <f t="shared" si="164"/>
        <v>5.1912931295065787</v>
      </c>
      <c r="Z320">
        <f t="shared" si="165"/>
        <v>5.1494883936854627</v>
      </c>
      <c r="AA320">
        <f t="shared" si="166"/>
        <v>5.1588468447833256</v>
      </c>
      <c r="AB320">
        <f t="shared" si="167"/>
        <v>5.2638252545700555</v>
      </c>
      <c r="AC320">
        <f t="shared" si="168"/>
        <v>5.2101392827198891</v>
      </c>
      <c r="AD320">
        <f t="shared" si="169"/>
        <v>5.0837973853041118</v>
      </c>
      <c r="AE320">
        <f t="shared" si="170"/>
        <v>5.0199693979630462</v>
      </c>
      <c r="AF320">
        <f t="shared" si="171"/>
        <v>5.1649286206170304</v>
      </c>
      <c r="AG320">
        <f t="shared" si="172"/>
        <v>5.1031416225604822</v>
      </c>
      <c r="AH320">
        <f t="shared" si="173"/>
        <v>5.0679762328939715</v>
      </c>
      <c r="AI320">
        <f t="shared" si="174"/>
        <v>5.2532638924173716</v>
      </c>
      <c r="AJ320" t="str">
        <f t="shared" si="175"/>
        <v>C00008</v>
      </c>
      <c r="AL320">
        <f t="shared" si="176"/>
        <v>5.1593799961661384</v>
      </c>
      <c r="AM320">
        <f t="shared" si="177"/>
        <v>7.7358393669853046E-2</v>
      </c>
      <c r="AN320">
        <f t="shared" si="178"/>
        <v>1.5772364974339783</v>
      </c>
      <c r="AO320">
        <f t="shared" si="179"/>
        <v>0.38187505165839697</v>
      </c>
      <c r="AP320">
        <f t="shared" si="180"/>
        <v>-0.89278763490345747</v>
      </c>
      <c r="AQ320">
        <f t="shared" si="181"/>
        <v>-0.84668243018398182</v>
      </c>
      <c r="AR320">
        <f t="shared" si="182"/>
        <v>0.89865863447232042</v>
      </c>
      <c r="AS320">
        <f t="shared" si="183"/>
        <v>0.41253614283458206</v>
      </c>
      <c r="AT320">
        <f t="shared" si="184"/>
        <v>-0.12786721661893133</v>
      </c>
      <c r="AU320">
        <f t="shared" si="185"/>
        <v>-6.8919655323791736E-3</v>
      </c>
      <c r="AV320">
        <f t="shared" si="186"/>
        <v>1.3501477144117575</v>
      </c>
      <c r="AW320">
        <f t="shared" si="187"/>
        <v>0.65615745293754557</v>
      </c>
      <c r="AX320">
        <f t="shared" si="188"/>
        <v>-0.97704473007279469</v>
      </c>
      <c r="AY320">
        <f t="shared" si="189"/>
        <v>-1.8021392584502594</v>
      </c>
      <c r="AZ320">
        <f t="shared" si="190"/>
        <v>7.1726210791968906E-2</v>
      </c>
      <c r="BA320">
        <f t="shared" si="191"/>
        <v>-0.72698476451912908</v>
      </c>
      <c r="BB320">
        <f t="shared" si="192"/>
        <v>-1.1815623222769611</v>
      </c>
      <c r="BC320">
        <f t="shared" si="193"/>
        <v>1.2136226180174705</v>
      </c>
      <c r="BD320" t="str">
        <f t="shared" si="194"/>
        <v>C00008</v>
      </c>
    </row>
    <row r="321" spans="1:56" x14ac:dyDescent="0.2">
      <c r="A321" t="s">
        <v>258</v>
      </c>
      <c r="B321">
        <v>24294152</v>
      </c>
      <c r="C321">
        <v>29016310</v>
      </c>
      <c r="D321">
        <v>31701274</v>
      </c>
      <c r="E321">
        <v>18698146</v>
      </c>
      <c r="F321">
        <v>33303380</v>
      </c>
      <c r="G321">
        <v>19886836</v>
      </c>
      <c r="H321">
        <v>26260598</v>
      </c>
      <c r="I321">
        <v>27917972</v>
      </c>
      <c r="J321">
        <v>52521988</v>
      </c>
      <c r="K321">
        <v>34433764</v>
      </c>
      <c r="L321">
        <v>45889404</v>
      </c>
      <c r="M321">
        <v>64163032</v>
      </c>
      <c r="N321">
        <v>59731040</v>
      </c>
      <c r="O321">
        <v>58199060</v>
      </c>
      <c r="P321">
        <v>62185092</v>
      </c>
      <c r="Q321">
        <v>73299776</v>
      </c>
      <c r="R321" s="2" t="s">
        <v>259</v>
      </c>
      <c r="S321" s="4" t="s">
        <v>422</v>
      </c>
      <c r="T321">
        <f t="shared" si="159"/>
        <v>7.3855017443890185</v>
      </c>
      <c r="U321">
        <f t="shared" si="160"/>
        <v>7.4626421824459035</v>
      </c>
      <c r="V321">
        <f t="shared" si="161"/>
        <v>7.5010767158471543</v>
      </c>
      <c r="W321">
        <f t="shared" si="162"/>
        <v>7.2717985465425565</v>
      </c>
      <c r="X321">
        <f t="shared" si="163"/>
        <v>7.5224883128113067</v>
      </c>
      <c r="Y321">
        <f t="shared" si="164"/>
        <v>7.2985656922724811</v>
      </c>
      <c r="Z321">
        <f t="shared" si="165"/>
        <v>7.4193046115151953</v>
      </c>
      <c r="AA321">
        <f t="shared" si="166"/>
        <v>7.4458838673466126</v>
      </c>
      <c r="AB321">
        <f t="shared" si="167"/>
        <v>7.7203411561282191</v>
      </c>
      <c r="AC321">
        <f t="shared" si="168"/>
        <v>7.5369844986001677</v>
      </c>
      <c r="AD321">
        <f t="shared" si="169"/>
        <v>7.6617124172241411</v>
      </c>
      <c r="AE321">
        <f t="shared" si="170"/>
        <v>7.8072848781837854</v>
      </c>
      <c r="AF321">
        <f t="shared" si="171"/>
        <v>7.7762000764803565</v>
      </c>
      <c r="AG321">
        <f t="shared" si="172"/>
        <v>7.7649159702150126</v>
      </c>
      <c r="AH321">
        <f t="shared" si="173"/>
        <v>7.7936862811835077</v>
      </c>
      <c r="AI321">
        <f t="shared" si="174"/>
        <v>7.865102647463603</v>
      </c>
      <c r="AJ321" t="str">
        <f t="shared" si="175"/>
        <v>C00077</v>
      </c>
      <c r="AL321">
        <f t="shared" si="176"/>
        <v>7.5770930999155626</v>
      </c>
      <c r="AM321">
        <f t="shared" si="177"/>
        <v>0.1929632603859118</v>
      </c>
      <c r="AN321">
        <f t="shared" si="178"/>
        <v>-0.99289033126500847</v>
      </c>
      <c r="AO321">
        <f t="shared" si="179"/>
        <v>-0.59312284235230051</v>
      </c>
      <c r="AP321">
        <f t="shared" si="180"/>
        <v>-0.3939422660893131</v>
      </c>
      <c r="AQ321">
        <f t="shared" si="181"/>
        <v>-1.5821382410436071</v>
      </c>
      <c r="AR321">
        <f t="shared" si="182"/>
        <v>-0.2829802263656328</v>
      </c>
      <c r="AS321">
        <f t="shared" si="183"/>
        <v>-1.4434219606677867</v>
      </c>
      <c r="AT321">
        <f t="shared" si="184"/>
        <v>-0.81771259505463556</v>
      </c>
      <c r="AU321">
        <f t="shared" si="185"/>
        <v>-0.67997002282476748</v>
      </c>
      <c r="AV321">
        <f t="shared" si="186"/>
        <v>0.74235922385521158</v>
      </c>
      <c r="AW321">
        <f t="shared" si="187"/>
        <v>-0.2078561547684295</v>
      </c>
      <c r="AX321">
        <f t="shared" si="188"/>
        <v>0.4385255366194909</v>
      </c>
      <c r="AY321">
        <f t="shared" si="189"/>
        <v>1.1929306014412111</v>
      </c>
      <c r="AZ321">
        <f t="shared" si="190"/>
        <v>1.0318387871690973</v>
      </c>
      <c r="BA321">
        <f t="shared" si="191"/>
        <v>0.97336078341451415</v>
      </c>
      <c r="BB321">
        <f t="shared" si="192"/>
        <v>1.1224581344385212</v>
      </c>
      <c r="BC321">
        <f t="shared" si="193"/>
        <v>1.4925615734935411</v>
      </c>
      <c r="BD321" t="str">
        <f t="shared" si="194"/>
        <v>C00077</v>
      </c>
    </row>
    <row r="322" spans="1:56" x14ac:dyDescent="0.2">
      <c r="A322" t="s">
        <v>344</v>
      </c>
      <c r="B322">
        <v>76461.375</v>
      </c>
      <c r="C322">
        <v>98633.40625</v>
      </c>
      <c r="D322">
        <v>44453.679689999997</v>
      </c>
      <c r="E322">
        <v>84841.179690000004</v>
      </c>
      <c r="F322">
        <v>32672.386719999999</v>
      </c>
      <c r="G322">
        <v>41418.980470000002</v>
      </c>
      <c r="H322">
        <v>39476.816409999999</v>
      </c>
      <c r="I322">
        <v>60896.929689999997</v>
      </c>
      <c r="J322">
        <v>33537.824220000002</v>
      </c>
      <c r="K322">
        <v>36167.328119999998</v>
      </c>
      <c r="L322">
        <v>41245.535159999999</v>
      </c>
      <c r="M322">
        <v>37226.265619999998</v>
      </c>
      <c r="N322">
        <v>69441.054690000004</v>
      </c>
      <c r="O322">
        <v>64913.246090000001</v>
      </c>
      <c r="P322">
        <v>57265.46875</v>
      </c>
      <c r="Q322">
        <v>73335.132809999996</v>
      </c>
      <c r="R322" s="2" t="s">
        <v>418</v>
      </c>
      <c r="S322" s="4" t="s">
        <v>422</v>
      </c>
      <c r="T322">
        <f t="shared" si="159"/>
        <v>4.8834421036430316</v>
      </c>
      <c r="U322">
        <f t="shared" si="160"/>
        <v>4.9940240315017439</v>
      </c>
      <c r="V322">
        <f t="shared" si="161"/>
        <v>4.6479077158781008</v>
      </c>
      <c r="W322">
        <f t="shared" si="162"/>
        <v>4.9286066986150976</v>
      </c>
      <c r="X322">
        <f t="shared" si="163"/>
        <v>4.5141808608747427</v>
      </c>
      <c r="Y322">
        <f t="shared" si="164"/>
        <v>4.6171994045115001</v>
      </c>
      <c r="Z322">
        <f t="shared" si="165"/>
        <v>4.5963421219277318</v>
      </c>
      <c r="AA322">
        <f t="shared" si="166"/>
        <v>4.7845953968643302</v>
      </c>
      <c r="AB322">
        <f t="shared" si="167"/>
        <v>4.5255348841526395</v>
      </c>
      <c r="AC322">
        <f t="shared" si="168"/>
        <v>4.5583164262180427</v>
      </c>
      <c r="AD322">
        <f t="shared" si="169"/>
        <v>4.6153769429387337</v>
      </c>
      <c r="AE322">
        <f t="shared" si="170"/>
        <v>4.5708494718355919</v>
      </c>
      <c r="AF322">
        <f t="shared" si="171"/>
        <v>4.8416163084035828</v>
      </c>
      <c r="AG322">
        <f t="shared" si="172"/>
        <v>4.8123333272596946</v>
      </c>
      <c r="AH322">
        <f t="shared" si="173"/>
        <v>4.7578928200135202</v>
      </c>
      <c r="AI322">
        <f t="shared" si="174"/>
        <v>4.8653120828279768</v>
      </c>
      <c r="AJ322" t="str">
        <f t="shared" si="175"/>
        <v>C16741</v>
      </c>
      <c r="AL322">
        <f t="shared" si="176"/>
        <v>4.7195956623416286</v>
      </c>
      <c r="AM322">
        <f t="shared" si="177"/>
        <v>0.1561889463472689</v>
      </c>
      <c r="AN322">
        <f t="shared" si="178"/>
        <v>1.049027124730763</v>
      </c>
      <c r="AO322">
        <f t="shared" si="179"/>
        <v>1.7570281097226563</v>
      </c>
      <c r="AP322">
        <f t="shared" si="180"/>
        <v>-0.45898220162224274</v>
      </c>
      <c r="AQ322">
        <f t="shared" si="181"/>
        <v>1.3381935224068671</v>
      </c>
      <c r="AR322">
        <f t="shared" si="182"/>
        <v>-1.3151686228177044</v>
      </c>
      <c r="AS322">
        <f t="shared" si="183"/>
        <v>-0.65559221843050097</v>
      </c>
      <c r="AT322">
        <f t="shared" si="184"/>
        <v>-0.78913100636363942</v>
      </c>
      <c r="AU322">
        <f t="shared" si="185"/>
        <v>0.41616091306603631</v>
      </c>
      <c r="AV322">
        <f t="shared" si="186"/>
        <v>-1.2424744690800102</v>
      </c>
      <c r="AW322">
        <f t="shared" si="187"/>
        <v>-1.032590589125298</v>
      </c>
      <c r="AX322">
        <f t="shared" si="188"/>
        <v>-0.66726053181238654</v>
      </c>
      <c r="AY322">
        <f t="shared" si="189"/>
        <v>-0.95234774281219625</v>
      </c>
      <c r="AZ322">
        <f t="shared" si="190"/>
        <v>0.7812373981360673</v>
      </c>
      <c r="BA322">
        <f t="shared" si="191"/>
        <v>0.59375306055189103</v>
      </c>
      <c r="BB322">
        <f t="shared" si="192"/>
        <v>0.24519761844568733</v>
      </c>
      <c r="BC322">
        <f t="shared" si="193"/>
        <v>0.93294963500402739</v>
      </c>
      <c r="BD322" t="str">
        <f t="shared" si="194"/>
        <v>C16741</v>
      </c>
    </row>
    <row r="323" spans="1:56" x14ac:dyDescent="0.2">
      <c r="A323" t="s">
        <v>345</v>
      </c>
      <c r="B323">
        <v>191158</v>
      </c>
      <c r="C323">
        <v>154497.42189999999</v>
      </c>
      <c r="D323">
        <v>123116.25</v>
      </c>
      <c r="E323">
        <v>124131.5</v>
      </c>
      <c r="F323">
        <v>169394.29689999999</v>
      </c>
      <c r="G323">
        <v>155343.51560000001</v>
      </c>
      <c r="H323">
        <v>141087.45310000001</v>
      </c>
      <c r="I323">
        <v>144160.6875</v>
      </c>
      <c r="J323">
        <v>183579.95310000001</v>
      </c>
      <c r="K323">
        <v>162233.0312</v>
      </c>
      <c r="L323">
        <v>121282.28909999999</v>
      </c>
      <c r="M323">
        <v>104705.47659999999</v>
      </c>
      <c r="N323">
        <v>146193.6875</v>
      </c>
      <c r="O323">
        <v>126806.5312</v>
      </c>
      <c r="P323">
        <v>116943.53909999999</v>
      </c>
      <c r="Q323">
        <v>179169.42189999999</v>
      </c>
      <c r="R323" s="2"/>
      <c r="S323" s="4" t="s">
        <v>422</v>
      </c>
      <c r="T323">
        <f t="shared" ref="T323:T325" si="195">LOG10(B323)</f>
        <v>5.2813924780450963</v>
      </c>
      <c r="U323">
        <f t="shared" ref="U323:U325" si="196">LOG10(C323)</f>
        <v>5.1889212367450241</v>
      </c>
      <c r="V323">
        <f t="shared" ref="V323:V325" si="197">LOG10(D323)</f>
        <v>5.0903153788416997</v>
      </c>
      <c r="W323">
        <f t="shared" ref="W323:W325" si="198">LOG10(E323)</f>
        <v>5.0938820034186181</v>
      </c>
      <c r="X323">
        <f t="shared" ref="X323:X325" si="199">LOG10(F323)</f>
        <v>5.2288987845864607</v>
      </c>
      <c r="Y323">
        <f t="shared" ref="Y323:Y325" si="200">LOG10(G323)</f>
        <v>5.1912931295065787</v>
      </c>
      <c r="Z323">
        <f t="shared" ref="Z323:Z325" si="201">LOG10(H323)</f>
        <v>5.1494883936854627</v>
      </c>
      <c r="AA323">
        <f t="shared" ref="AA323:AA325" si="202">LOG10(I323)</f>
        <v>5.1588468447833256</v>
      </c>
      <c r="AB323">
        <f t="shared" ref="AB323:AB325" si="203">LOG10(J323)</f>
        <v>5.2638252545700555</v>
      </c>
      <c r="AC323">
        <f t="shared" ref="AC323:AC325" si="204">LOG10(K323)</f>
        <v>5.2101392827198891</v>
      </c>
      <c r="AD323">
        <f t="shared" ref="AD323:AD325" si="205">LOG10(L323)</f>
        <v>5.0837973853041118</v>
      </c>
      <c r="AE323">
        <f t="shared" ref="AE323:AE325" si="206">LOG10(M323)</f>
        <v>5.0199693979630462</v>
      </c>
      <c r="AF323">
        <f t="shared" ref="AF323:AF325" si="207">LOG10(N323)</f>
        <v>5.1649286206170304</v>
      </c>
      <c r="AG323">
        <f t="shared" ref="AG323:AG325" si="208">LOG10(O323)</f>
        <v>5.1031416225604822</v>
      </c>
      <c r="AH323">
        <f t="shared" ref="AH323:AH325" si="209">LOG10(P323)</f>
        <v>5.0679762328939715</v>
      </c>
      <c r="AI323">
        <f t="shared" ref="AI323:AI325" si="210">LOG10(Q323)</f>
        <v>5.2532638924173716</v>
      </c>
      <c r="AJ323">
        <f t="shared" ref="AJ323:AJ325" si="211">R323</f>
        <v>0</v>
      </c>
      <c r="AL323">
        <f t="shared" ref="AL323:AL325" si="212">AVERAGE(T323:AI323)</f>
        <v>5.1593799961661384</v>
      </c>
      <c r="AM323">
        <f t="shared" ref="AM323:AM325" si="213">STDEV(T323:AI323)</f>
        <v>7.7358393669853046E-2</v>
      </c>
      <c r="AN323">
        <f t="shared" ref="AN323:AN325" si="214">(T323-$AL323)/$AM323</f>
        <v>1.5772364974339783</v>
      </c>
      <c r="AO323">
        <f t="shared" ref="AO323:AO325" si="215">(U323-$AL323)/$AM323</f>
        <v>0.38187505165839697</v>
      </c>
      <c r="AP323">
        <f t="shared" ref="AP323:AP325" si="216">(V323-$AL323)/$AM323</f>
        <v>-0.89278763490345747</v>
      </c>
      <c r="AQ323">
        <f t="shared" ref="AQ323:AQ325" si="217">(W323-$AL323)/$AM323</f>
        <v>-0.84668243018398182</v>
      </c>
      <c r="AR323">
        <f t="shared" ref="AR323:AR325" si="218">(X323-$AL323)/$AM323</f>
        <v>0.89865863447232042</v>
      </c>
      <c r="AS323">
        <f t="shared" ref="AS323:AS325" si="219">(Y323-$AL323)/$AM323</f>
        <v>0.41253614283458206</v>
      </c>
      <c r="AT323">
        <f t="shared" ref="AT323:AT325" si="220">(Z323-$AL323)/$AM323</f>
        <v>-0.12786721661893133</v>
      </c>
      <c r="AU323">
        <f t="shared" ref="AU323:AU325" si="221">(AA323-$AL323)/$AM323</f>
        <v>-6.8919655323791736E-3</v>
      </c>
      <c r="AV323">
        <f t="shared" ref="AV323:AV325" si="222">(AB323-$AL323)/$AM323</f>
        <v>1.3501477144117575</v>
      </c>
      <c r="AW323">
        <f t="shared" ref="AW323:AW325" si="223">(AC323-$AL323)/$AM323</f>
        <v>0.65615745293754557</v>
      </c>
      <c r="AX323">
        <f t="shared" ref="AX323:AX325" si="224">(AD323-$AL323)/$AM323</f>
        <v>-0.97704473007279469</v>
      </c>
      <c r="AY323">
        <f t="shared" ref="AY323:AY325" si="225">(AE323-$AL323)/$AM323</f>
        <v>-1.8021392584502594</v>
      </c>
      <c r="AZ323">
        <f t="shared" ref="AZ323:AZ325" si="226">(AF323-$AL323)/$AM323</f>
        <v>7.1726210791968906E-2</v>
      </c>
      <c r="BA323">
        <f t="shared" ref="BA323:BA325" si="227">(AG323-$AL323)/$AM323</f>
        <v>-0.72698476451912908</v>
      </c>
      <c r="BB323">
        <f t="shared" ref="BB323:BB325" si="228">(AH323-$AL323)/$AM323</f>
        <v>-1.1815623222769611</v>
      </c>
      <c r="BC323">
        <f t="shared" ref="BC323:BC325" si="229">(AI323-$AL323)/$AM323</f>
        <v>1.2136226180174705</v>
      </c>
      <c r="BD323">
        <f t="shared" ref="BD323:BD325" si="230">AJ323</f>
        <v>0</v>
      </c>
    </row>
    <row r="324" spans="1:56" x14ac:dyDescent="0.2">
      <c r="A324" t="s">
        <v>346</v>
      </c>
      <c r="B324">
        <v>241975.3438</v>
      </c>
      <c r="C324">
        <v>344189.75</v>
      </c>
      <c r="D324">
        <v>353354.125</v>
      </c>
      <c r="E324">
        <v>182504.20310000001</v>
      </c>
      <c r="F324">
        <v>138824.01560000001</v>
      </c>
      <c r="G324">
        <v>88346.492190000004</v>
      </c>
      <c r="H324">
        <v>102671.36719999999</v>
      </c>
      <c r="I324">
        <v>124568.7812</v>
      </c>
      <c r="J324">
        <v>2875656.5</v>
      </c>
      <c r="K324">
        <v>1213432.375</v>
      </c>
      <c r="L324">
        <v>1936392</v>
      </c>
      <c r="M324">
        <v>1761622.375</v>
      </c>
      <c r="N324">
        <v>282185.84379999997</v>
      </c>
      <c r="O324">
        <v>153009.95310000001</v>
      </c>
      <c r="P324">
        <v>297263</v>
      </c>
      <c r="Q324">
        <v>324720</v>
      </c>
      <c r="R324" s="2"/>
      <c r="S324" s="4" t="s">
        <v>422</v>
      </c>
      <c r="T324">
        <f t="shared" si="195"/>
        <v>5.3837711155790373</v>
      </c>
      <c r="U324">
        <f t="shared" si="196"/>
        <v>5.5367979328575432</v>
      </c>
      <c r="V324">
        <f t="shared" si="197"/>
        <v>5.5482101655652203</v>
      </c>
      <c r="W324">
        <f t="shared" si="198"/>
        <v>5.2612728707766978</v>
      </c>
      <c r="X324">
        <f t="shared" si="199"/>
        <v>5.1424646025767764</v>
      </c>
      <c r="Y324">
        <f t="shared" si="200"/>
        <v>4.9461893104611185</v>
      </c>
      <c r="Z324">
        <f t="shared" si="201"/>
        <v>5.011449345244654</v>
      </c>
      <c r="AA324">
        <f t="shared" si="202"/>
        <v>5.0954092152656258</v>
      </c>
      <c r="AB324">
        <f t="shared" si="203"/>
        <v>6.4587370079055466</v>
      </c>
      <c r="AC324">
        <f t="shared" si="204"/>
        <v>6.0840155779628029</v>
      </c>
      <c r="AD324">
        <f t="shared" si="205"/>
        <v>6.2869932797305585</v>
      </c>
      <c r="AE324">
        <f t="shared" si="206"/>
        <v>6.2459128177932763</v>
      </c>
      <c r="AF324">
        <f t="shared" si="207"/>
        <v>5.4505352230478392</v>
      </c>
      <c r="AG324">
        <f t="shared" si="208"/>
        <v>5.1847196820320809</v>
      </c>
      <c r="AH324">
        <f t="shared" si="209"/>
        <v>5.4731408564103603</v>
      </c>
      <c r="AI324">
        <f t="shared" si="210"/>
        <v>5.5115090383092289</v>
      </c>
      <c r="AJ324">
        <f t="shared" si="211"/>
        <v>0</v>
      </c>
      <c r="AL324">
        <f t="shared" si="212"/>
        <v>5.5388205025948976</v>
      </c>
      <c r="AM324">
        <f t="shared" si="213"/>
        <v>0.47788955494801094</v>
      </c>
      <c r="AN324">
        <f t="shared" si="214"/>
        <v>-0.32444606794707592</v>
      </c>
      <c r="AO324">
        <f t="shared" si="215"/>
        <v>-4.2322953419109714E-3</v>
      </c>
      <c r="AP324">
        <f t="shared" si="216"/>
        <v>1.9648186224417948E-2</v>
      </c>
      <c r="AQ324">
        <f t="shared" si="217"/>
        <v>-0.58077777374396444</v>
      </c>
      <c r="AR324">
        <f t="shared" si="218"/>
        <v>-0.82938807913732338</v>
      </c>
      <c r="AS324">
        <f t="shared" si="219"/>
        <v>-1.2401007429389217</v>
      </c>
      <c r="AT324">
        <f t="shared" si="220"/>
        <v>-1.103541920700936</v>
      </c>
      <c r="AU324">
        <f t="shared" si="221"/>
        <v>-0.92785306298964809</v>
      </c>
      <c r="AV324">
        <f t="shared" si="222"/>
        <v>1.9249562912307756</v>
      </c>
      <c r="AW324">
        <f t="shared" si="223"/>
        <v>1.1408390698708961</v>
      </c>
      <c r="AX324">
        <f t="shared" si="224"/>
        <v>1.5655767517602552</v>
      </c>
      <c r="AY324">
        <f t="shared" si="225"/>
        <v>1.4796145006251551</v>
      </c>
      <c r="AZ324">
        <f t="shared" si="226"/>
        <v>-0.18473992292353575</v>
      </c>
      <c r="BA324">
        <f t="shared" si="227"/>
        <v>-0.7409679012577266</v>
      </c>
      <c r="BB324">
        <f t="shared" si="228"/>
        <v>-0.13743687323670942</v>
      </c>
      <c r="BC324">
        <f t="shared" si="229"/>
        <v>-5.7150159493734587E-2</v>
      </c>
      <c r="BD324">
        <f t="shared" si="230"/>
        <v>0</v>
      </c>
    </row>
    <row r="325" spans="1:56" x14ac:dyDescent="0.2">
      <c r="A325" t="s">
        <v>347</v>
      </c>
      <c r="B325">
        <v>469801.1875</v>
      </c>
      <c r="C325">
        <v>108455.0312</v>
      </c>
      <c r="D325">
        <v>217030.57810000001</v>
      </c>
      <c r="E325">
        <v>241945.125</v>
      </c>
      <c r="F325">
        <v>81428.226559999996</v>
      </c>
      <c r="G325">
        <v>89239.351559999996</v>
      </c>
      <c r="H325">
        <v>67979.757809999996</v>
      </c>
      <c r="I325">
        <v>136460.625</v>
      </c>
      <c r="J325">
        <v>190831.375</v>
      </c>
      <c r="K325">
        <v>126704.2656</v>
      </c>
      <c r="L325">
        <v>196984.6875</v>
      </c>
      <c r="M325">
        <v>165095.70310000001</v>
      </c>
      <c r="Q325">
        <v>26369.271479999999</v>
      </c>
      <c r="R325" s="2" t="s">
        <v>419</v>
      </c>
      <c r="S325" s="4" t="s">
        <v>422</v>
      </c>
      <c r="T325">
        <f t="shared" si="195"/>
        <v>5.671914110193919</v>
      </c>
      <c r="U325">
        <f t="shared" si="196"/>
        <v>5.0352497036228288</v>
      </c>
      <c r="V325">
        <f t="shared" si="197"/>
        <v>5.3365209272334617</v>
      </c>
      <c r="W325">
        <f t="shared" si="198"/>
        <v>5.3837168758477061</v>
      </c>
      <c r="X325">
        <f t="shared" si="199"/>
        <v>4.9107749763181587</v>
      </c>
      <c r="Y325">
        <f t="shared" si="200"/>
        <v>4.9505564059087863</v>
      </c>
      <c r="Z325">
        <f t="shared" si="201"/>
        <v>4.8323796129983219</v>
      </c>
      <c r="AA325">
        <f t="shared" si="202"/>
        <v>5.1350073560500693</v>
      </c>
      <c r="AB325">
        <f t="shared" si="203"/>
        <v>5.2806497795356293</v>
      </c>
      <c r="AC325">
        <f t="shared" si="204"/>
        <v>5.1027912359991339</v>
      </c>
      <c r="AD325">
        <f t="shared" si="205"/>
        <v>5.2944324678229142</v>
      </c>
      <c r="AE325">
        <f t="shared" si="206"/>
        <v>5.217735770148054</v>
      </c>
      <c r="AF325" t="e">
        <f t="shared" si="207"/>
        <v>#NUM!</v>
      </c>
      <c r="AG325" t="e">
        <f t="shared" si="208"/>
        <v>#NUM!</v>
      </c>
      <c r="AH325" t="e">
        <f t="shared" si="209"/>
        <v>#NUM!</v>
      </c>
      <c r="AI325">
        <f t="shared" si="210"/>
        <v>4.4210981314397557</v>
      </c>
      <c r="AJ325" t="str">
        <f t="shared" si="211"/>
        <v>C00345</v>
      </c>
      <c r="AL325" t="e">
        <f t="shared" si="212"/>
        <v>#NUM!</v>
      </c>
      <c r="AM325" t="e">
        <f t="shared" si="213"/>
        <v>#NUM!</v>
      </c>
      <c r="AN325" t="e">
        <f t="shared" si="214"/>
        <v>#NUM!</v>
      </c>
      <c r="AO325" t="e">
        <f t="shared" si="215"/>
        <v>#NUM!</v>
      </c>
      <c r="AP325" t="e">
        <f t="shared" si="216"/>
        <v>#NUM!</v>
      </c>
      <c r="AQ325" t="e">
        <f t="shared" si="217"/>
        <v>#NUM!</v>
      </c>
      <c r="AR325" t="e">
        <f t="shared" si="218"/>
        <v>#NUM!</v>
      </c>
      <c r="AS325" t="e">
        <f t="shared" si="219"/>
        <v>#NUM!</v>
      </c>
      <c r="AT325" t="e">
        <f t="shared" si="220"/>
        <v>#NUM!</v>
      </c>
      <c r="AU325" t="e">
        <f t="shared" si="221"/>
        <v>#NUM!</v>
      </c>
      <c r="AV325" t="e">
        <f t="shared" si="222"/>
        <v>#NUM!</v>
      </c>
      <c r="AW325" t="e">
        <f t="shared" si="223"/>
        <v>#NUM!</v>
      </c>
      <c r="AX325" t="e">
        <f t="shared" si="224"/>
        <v>#NUM!</v>
      </c>
      <c r="AY325" t="e">
        <f t="shared" si="225"/>
        <v>#NUM!</v>
      </c>
      <c r="AZ325" t="e">
        <f t="shared" si="226"/>
        <v>#NUM!</v>
      </c>
      <c r="BA325" t="e">
        <f t="shared" si="227"/>
        <v>#NUM!</v>
      </c>
      <c r="BB325" t="e">
        <f t="shared" si="228"/>
        <v>#NUM!</v>
      </c>
      <c r="BC325" t="e">
        <f t="shared" si="229"/>
        <v>#NUM!</v>
      </c>
      <c r="BD325" t="str">
        <f t="shared" si="230"/>
        <v>C00345</v>
      </c>
    </row>
  </sheetData>
  <autoFilter ref="A1:A3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Oostrom, Marjolein T</cp:lastModifiedBy>
  <dcterms:created xsi:type="dcterms:W3CDTF">2025-04-07T19:57:26Z</dcterms:created>
  <dcterms:modified xsi:type="dcterms:W3CDTF">2026-09-22T19:41:12Z</dcterms:modified>
</cp:coreProperties>
</file>